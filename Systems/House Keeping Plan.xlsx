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nanil\Videos\New folder\Everest End Files\"/>
    </mc:Choice>
  </mc:AlternateContent>
  <xr:revisionPtr revIDLastSave="0" documentId="13_ncr:1_{9A75C19C-2769-4FA6-9380-F22369F7BB1F}" xr6:coauthVersionLast="47" xr6:coauthVersionMax="47" xr10:uidLastSave="{00000000-0000-0000-0000-000000000000}"/>
  <bookViews>
    <workbookView xWindow="-108" yWindow="-108" windowWidth="23256" windowHeight="12456" tabRatio="844" xr2:uid="{00000000-000D-0000-FFFF-FFFF00000000}"/>
  </bookViews>
  <sheets>
    <sheet name="Manpower Usage Existing" sheetId="1" r:id="rId1"/>
    <sheet name="Manpower Usage Proposal" sheetId="7" r:id="rId2"/>
    <sheet name="Quarters Area" sheetId="2" r:id="rId3"/>
    <sheet name="Admin Block" sheetId="3" r:id="rId4"/>
    <sheet name="Garden Area" sheetId="5" r:id="rId5"/>
    <sheet name="Washrooms Cleaning" sheetId="6" r:id="rId6"/>
    <sheet name="Bungalow Cleaning" sheetId="8" r:id="rId7"/>
    <sheet name="Tractor - Road Sweeping" sheetId="9" r:id="rId8"/>
    <sheet name="Sanitization" sheetId="10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" i="7" l="1"/>
  <c r="G18" i="7"/>
  <c r="F14" i="1"/>
  <c r="F10" i="7"/>
  <c r="F4" i="7"/>
  <c r="F5" i="7"/>
  <c r="F6" i="7"/>
  <c r="F7" i="7"/>
  <c r="F8" i="7"/>
  <c r="F9" i="7"/>
  <c r="F3" i="7"/>
  <c r="F4" i="1"/>
  <c r="F5" i="1"/>
  <c r="F6" i="1"/>
  <c r="F7" i="1"/>
  <c r="F8" i="1"/>
  <c r="F9" i="1"/>
  <c r="F10" i="1"/>
  <c r="F11" i="1"/>
  <c r="F12" i="1"/>
  <c r="F13" i="1"/>
  <c r="F3" i="1"/>
  <c r="L21" i="10"/>
  <c r="H21" i="10"/>
  <c r="D16" i="10"/>
  <c r="D17" i="10" s="1"/>
  <c r="D16" i="9"/>
  <c r="D17" i="9" s="1"/>
  <c r="K22" i="8"/>
  <c r="D16" i="8"/>
  <c r="D17" i="8" s="1"/>
  <c r="D16" i="6"/>
  <c r="D17" i="6" s="1"/>
  <c r="D16" i="5"/>
  <c r="D17" i="5" s="1"/>
  <c r="D16" i="3"/>
  <c r="D17" i="3" s="1"/>
  <c r="E10" i="7"/>
  <c r="C10" i="7"/>
  <c r="E14" i="1"/>
  <c r="C14" i="1"/>
  <c r="D13" i="2"/>
  <c r="D14" i="2" s="1"/>
</calcChain>
</file>

<file path=xl/sharedStrings.xml><?xml version="1.0" encoding="utf-8"?>
<sst xmlns="http://schemas.openxmlformats.org/spreadsheetml/2006/main" count="304" uniqueCount="135">
  <si>
    <t xml:space="preserve">PW - House Keeping (15 Persons) </t>
  </si>
  <si>
    <t>S.No</t>
  </si>
  <si>
    <t>Activity</t>
  </si>
  <si>
    <t>Persons</t>
  </si>
  <si>
    <t>Time Period</t>
  </si>
  <si>
    <t>Hours</t>
  </si>
  <si>
    <t>Job Description</t>
  </si>
  <si>
    <t>Tractor</t>
  </si>
  <si>
    <t>7 AM to 7 PM</t>
  </si>
  <si>
    <t>Roads &amp; Shopfloor Sweeping, Disposing waste, Cleaning Dust collectors, all other areas cleaning &amp; Diverting to required works whenever necessary.</t>
  </si>
  <si>
    <t>Quarters Area</t>
  </si>
  <si>
    <t>Sweeping Roads &amp; watering plants.</t>
  </si>
  <si>
    <t>Admin Block</t>
  </si>
  <si>
    <t>7:30 AM to 4:30 PM</t>
  </si>
  <si>
    <t>Sweeping &amp; collecting waste, cleaning Admin washrooms.</t>
  </si>
  <si>
    <t>Gardening</t>
  </si>
  <si>
    <t>Time office &amp; Canteen Gardens.</t>
  </si>
  <si>
    <t>STP Garden.</t>
  </si>
  <si>
    <t>Bungalow</t>
  </si>
  <si>
    <t>Roads sweeping &amp; watering.</t>
  </si>
  <si>
    <t>Washrooms cleaning</t>
  </si>
  <si>
    <t>Canteen Backside &amp; Hi-Tech washrooms.</t>
  </si>
  <si>
    <t>SM2 &amp; Fitting Shop washrooms.</t>
  </si>
  <si>
    <t>Sanitization</t>
  </si>
  <si>
    <t>Vehicles Sanitization, Main gate front sweeping &amp; watering plants.</t>
  </si>
  <si>
    <t>All Departments sanitization.</t>
  </si>
  <si>
    <t>7 PM to 7 AM</t>
  </si>
  <si>
    <t>Total</t>
  </si>
  <si>
    <t xml:space="preserve">PW - House Keeping (11 Persons) </t>
  </si>
  <si>
    <t>7 AM to 5 PM</t>
  </si>
  <si>
    <t>Time office,STP Garden &amp; Canteen Gardens.</t>
  </si>
  <si>
    <t>Roads sweeping &amp; watering plants.</t>
  </si>
  <si>
    <t>Canteen Backside, SM2 &amp; Hi-Tech washrooms.</t>
  </si>
  <si>
    <t>All Departments sanitization, Vehicles Sanitization, Main gate front sweeping &amp; watering plants.</t>
  </si>
  <si>
    <t xml:space="preserve">PW - House Keeping Schedule </t>
  </si>
  <si>
    <r>
      <rPr>
        <b/>
        <sz val="12"/>
        <color theme="1"/>
        <rFont val="Arial"/>
        <charset val="134"/>
      </rPr>
      <t xml:space="preserve">Place: </t>
    </r>
    <r>
      <rPr>
        <sz val="12"/>
        <color theme="1"/>
        <rFont val="Arial"/>
        <charset val="134"/>
      </rPr>
      <t xml:space="preserve">Quarters Area  </t>
    </r>
    <r>
      <rPr>
        <b/>
        <sz val="12"/>
        <color theme="1"/>
        <rFont val="Arial"/>
        <charset val="134"/>
      </rPr>
      <t xml:space="preserve">                             </t>
    </r>
  </si>
  <si>
    <r>
      <rPr>
        <b/>
        <sz val="12"/>
        <color theme="1"/>
        <rFont val="Arial"/>
        <charset val="134"/>
      </rPr>
      <t xml:space="preserve">Total Quarters - </t>
    </r>
    <r>
      <rPr>
        <sz val="12"/>
        <color theme="1"/>
        <rFont val="Arial"/>
        <charset val="134"/>
      </rPr>
      <t>19 No's</t>
    </r>
  </si>
  <si>
    <r>
      <rPr>
        <b/>
        <sz val="12"/>
        <color theme="1"/>
        <rFont val="Arial"/>
        <charset val="134"/>
      </rPr>
      <t xml:space="preserve">No. of Persons: </t>
    </r>
    <r>
      <rPr>
        <sz val="12"/>
        <color theme="1"/>
        <rFont val="Arial"/>
        <charset val="134"/>
      </rPr>
      <t>1</t>
    </r>
  </si>
  <si>
    <r>
      <rPr>
        <b/>
        <sz val="12"/>
        <color theme="1"/>
        <rFont val="Arial"/>
        <charset val="134"/>
      </rPr>
      <t xml:space="preserve">Job Description: </t>
    </r>
    <r>
      <rPr>
        <sz val="12"/>
        <color theme="1"/>
        <rFont val="Arial"/>
        <charset val="134"/>
      </rPr>
      <t xml:space="preserve">Sweeping Common Roads &amp; garden area, Watering plants, cleaning back &amp; front side of quarters.  </t>
    </r>
  </si>
  <si>
    <r>
      <rPr>
        <b/>
        <sz val="12"/>
        <color theme="1"/>
        <rFont val="Arial"/>
        <charset val="134"/>
      </rPr>
      <t xml:space="preserve">Time: </t>
    </r>
    <r>
      <rPr>
        <sz val="12"/>
        <color theme="1"/>
        <rFont val="Arial"/>
        <charset val="134"/>
      </rPr>
      <t>7 AM to 5 PM</t>
    </r>
  </si>
  <si>
    <t>Total Minutes:</t>
  </si>
  <si>
    <r>
      <rPr>
        <b/>
        <sz val="12"/>
        <color theme="1"/>
        <rFont val="Arial"/>
        <charset val="134"/>
      </rPr>
      <t>Month -</t>
    </r>
    <r>
      <rPr>
        <sz val="12"/>
        <color theme="1"/>
        <rFont val="Arial"/>
        <charset val="134"/>
      </rPr>
      <t xml:space="preserve">                                              </t>
    </r>
    <r>
      <rPr>
        <b/>
        <sz val="12"/>
        <color theme="1"/>
        <rFont val="Arial"/>
        <charset val="134"/>
      </rPr>
      <t xml:space="preserve">Year - </t>
    </r>
  </si>
  <si>
    <t>Minutes</t>
  </si>
  <si>
    <t>Sweeping common Roads &amp; Garden area.</t>
  </si>
  <si>
    <t>7AM to 9 AM</t>
  </si>
  <si>
    <t>Break</t>
  </si>
  <si>
    <t>9 AM to 9:30 AM</t>
  </si>
  <si>
    <t>Watering Plants.</t>
  </si>
  <si>
    <t>9:30 AM to 11:30 AM</t>
  </si>
  <si>
    <t>Cleaning Quarters front &amp; back side.</t>
  </si>
  <si>
    <t>11:30 AM to 12:30 PM</t>
  </si>
  <si>
    <t>40 &amp; 41</t>
  </si>
  <si>
    <t>42 &amp; 43</t>
  </si>
  <si>
    <t>44 &amp; 45</t>
  </si>
  <si>
    <t>46 &amp; 47</t>
  </si>
  <si>
    <t>48 &amp; 49</t>
  </si>
  <si>
    <t>50 &amp; 51</t>
  </si>
  <si>
    <t>52 &amp; 53</t>
  </si>
  <si>
    <t>54 &amp; 55</t>
  </si>
  <si>
    <t>56 &amp; 57</t>
  </si>
  <si>
    <t>58 &amp; 59</t>
  </si>
  <si>
    <t>12:30 PM to 1 PM</t>
  </si>
  <si>
    <t>1 PM to 5 PM</t>
  </si>
  <si>
    <t>Total Utilized</t>
  </si>
  <si>
    <t>Balance</t>
  </si>
  <si>
    <r>
      <rPr>
        <b/>
        <sz val="12"/>
        <color theme="1"/>
        <rFont val="Arial"/>
        <charset val="134"/>
      </rPr>
      <t xml:space="preserve">Place: </t>
    </r>
    <r>
      <rPr>
        <sz val="12"/>
        <color theme="1"/>
        <rFont val="Arial"/>
        <charset val="134"/>
      </rPr>
      <t xml:space="preserve">Admin Block  </t>
    </r>
    <r>
      <rPr>
        <b/>
        <sz val="12"/>
        <color theme="1"/>
        <rFont val="Arial"/>
        <charset val="134"/>
      </rPr>
      <t xml:space="preserve">                             </t>
    </r>
  </si>
  <si>
    <r>
      <rPr>
        <b/>
        <sz val="12"/>
        <color theme="1"/>
        <rFont val="Arial"/>
        <charset val="134"/>
      </rPr>
      <t xml:space="preserve">Job Description: </t>
    </r>
    <r>
      <rPr>
        <sz val="12"/>
        <color theme="1"/>
        <rFont val="Arial"/>
        <charset val="134"/>
      </rPr>
      <t>Sweeping &amp; collecting waste, cleaning Admin, fittingshop &amp; shower washrooms.</t>
    </r>
  </si>
  <si>
    <r>
      <rPr>
        <b/>
        <sz val="12"/>
        <color theme="1"/>
        <rFont val="Arial"/>
        <charset val="134"/>
      </rPr>
      <t xml:space="preserve">Time: </t>
    </r>
    <r>
      <rPr>
        <sz val="12"/>
        <color theme="1"/>
        <rFont val="Arial"/>
        <charset val="134"/>
      </rPr>
      <t>7:30 AM to 4:30 PM</t>
    </r>
  </si>
  <si>
    <t>Sweeping, collecting &amp; disposing waste in Admin block.</t>
  </si>
  <si>
    <t>7:30 AM to 9 AM</t>
  </si>
  <si>
    <t>Cleaning Admin Washrooms.</t>
  </si>
  <si>
    <t>9:30 AM to 11 AM</t>
  </si>
  <si>
    <t>Cleaning Fitting shop washroom.</t>
  </si>
  <si>
    <t>11 AM to 12 PM</t>
  </si>
  <si>
    <t>12PM to 12:30 PM</t>
  </si>
  <si>
    <t>Cleaning Shower Room.</t>
  </si>
  <si>
    <t xml:space="preserve">12:30 PM to 2 PM </t>
  </si>
  <si>
    <r>
      <rPr>
        <b/>
        <sz val="12"/>
        <color theme="1"/>
        <rFont val="Arial"/>
        <charset val="134"/>
      </rPr>
      <t xml:space="preserve">Place: </t>
    </r>
    <r>
      <rPr>
        <sz val="12"/>
        <color theme="1"/>
        <rFont val="Arial"/>
        <charset val="134"/>
      </rPr>
      <t xml:space="preserve">Garden Area  </t>
    </r>
    <r>
      <rPr>
        <b/>
        <sz val="12"/>
        <color theme="1"/>
        <rFont val="Arial"/>
        <charset val="134"/>
      </rPr>
      <t xml:space="preserve">                             </t>
    </r>
  </si>
  <si>
    <r>
      <rPr>
        <b/>
        <sz val="12"/>
        <color theme="1"/>
        <rFont val="Arial"/>
        <charset val="134"/>
      </rPr>
      <t xml:space="preserve">Job Description: </t>
    </r>
    <r>
      <rPr>
        <sz val="12"/>
        <color theme="1"/>
        <rFont val="Arial"/>
        <charset val="134"/>
      </rPr>
      <t>Time office, Canteen, Bird House Gardens &amp; STP Garden.</t>
    </r>
  </si>
  <si>
    <t>Admin block Gardening.</t>
  </si>
  <si>
    <t>7:30 AM to 8:30 AM</t>
  </si>
  <si>
    <t>8:30 AM to 9 AM</t>
  </si>
  <si>
    <t>Watering &amp; Maintaining Canteen Garden.</t>
  </si>
  <si>
    <t>9 AM to 11 AM</t>
  </si>
  <si>
    <t>Watering &amp; Maintaining Bird House Garden.</t>
  </si>
  <si>
    <t>12 PM to 12:30 PM</t>
  </si>
  <si>
    <t>Watering &amp; Maintaining STP Garden.</t>
  </si>
  <si>
    <t>12:30 PM  to 2 PM</t>
  </si>
  <si>
    <r>
      <rPr>
        <b/>
        <sz val="12"/>
        <color theme="1"/>
        <rFont val="Arial"/>
        <charset val="134"/>
      </rPr>
      <t xml:space="preserve">Place: </t>
    </r>
    <r>
      <rPr>
        <sz val="12"/>
        <color theme="1"/>
        <rFont val="Arial"/>
        <charset val="134"/>
      </rPr>
      <t xml:space="preserve">Washrooms  </t>
    </r>
    <r>
      <rPr>
        <b/>
        <sz val="12"/>
        <color theme="1"/>
        <rFont val="Arial"/>
        <charset val="134"/>
      </rPr>
      <t xml:space="preserve">                             </t>
    </r>
  </si>
  <si>
    <r>
      <rPr>
        <b/>
        <sz val="12"/>
        <color theme="1"/>
        <rFont val="Arial"/>
        <charset val="134"/>
      </rPr>
      <t xml:space="preserve">Job Description: </t>
    </r>
    <r>
      <rPr>
        <sz val="12"/>
        <color theme="1"/>
        <rFont val="Arial"/>
        <charset val="134"/>
      </rPr>
      <t>Cleaning Canteen Backside, Hi-Tech &amp; SM2 Washrooms.</t>
    </r>
  </si>
  <si>
    <t>Cleaning Canteen Backside Washroom.</t>
  </si>
  <si>
    <t>Cleaning Hi-Tech Washroom.</t>
  </si>
  <si>
    <t>9 AM to 10:30 AM</t>
  </si>
  <si>
    <t>Cleaning SM2 Washroom.</t>
  </si>
  <si>
    <t>10:30 AM to 12:30 PM</t>
  </si>
  <si>
    <r>
      <rPr>
        <b/>
        <sz val="12"/>
        <color theme="1"/>
        <rFont val="Arial"/>
        <charset val="134"/>
      </rPr>
      <t>Total Bungalows - 5</t>
    </r>
    <r>
      <rPr>
        <sz val="12"/>
        <color theme="1"/>
        <rFont val="Arial"/>
        <charset val="134"/>
      </rPr>
      <t xml:space="preserve"> No's</t>
    </r>
  </si>
  <si>
    <r>
      <rPr>
        <b/>
        <sz val="12"/>
        <color theme="1"/>
        <rFont val="Arial"/>
        <charset val="134"/>
      </rPr>
      <t xml:space="preserve">Job Description: </t>
    </r>
    <r>
      <rPr>
        <sz val="12"/>
        <color theme="1"/>
        <rFont val="Arial"/>
        <charset val="134"/>
      </rPr>
      <t>Roads &amp; Garden sweeping, watering plants.</t>
    </r>
  </si>
  <si>
    <t>Sweeping Bungalows Common Roads - 1 &amp; 2</t>
  </si>
  <si>
    <t>9 AM to 9:45 AM</t>
  </si>
  <si>
    <t>Sweeping Bungalows Common Roads - 3 &amp; 4</t>
  </si>
  <si>
    <t>9:45 AM to 11:15 AM</t>
  </si>
  <si>
    <t xml:space="preserve">Sweeping Bungalow Common Road - 5 </t>
  </si>
  <si>
    <t>11:15 AM to 11:45 AM</t>
  </si>
  <si>
    <t>11:45 PM to 12:30 PM</t>
  </si>
  <si>
    <t xml:space="preserve">Watering plants - 1 &amp; 2 </t>
  </si>
  <si>
    <t>12:30 PM to 1:30 PM</t>
  </si>
  <si>
    <t>Watering plants - 3 &amp; 4</t>
  </si>
  <si>
    <t>1:30 PM to 2:30 PM</t>
  </si>
  <si>
    <t>Bungalow Garden Cleaning</t>
  </si>
  <si>
    <t>2:30 PM to 4:30 PM</t>
  </si>
  <si>
    <t>B1</t>
  </si>
  <si>
    <t>B2</t>
  </si>
  <si>
    <t>B3</t>
  </si>
  <si>
    <t>B4</t>
  </si>
  <si>
    <t>B5</t>
  </si>
  <si>
    <r>
      <rPr>
        <b/>
        <sz val="12"/>
        <color theme="1"/>
        <rFont val="Arial"/>
        <charset val="134"/>
      </rPr>
      <t xml:space="preserve">Place: </t>
    </r>
    <r>
      <rPr>
        <sz val="12"/>
        <color theme="1"/>
        <rFont val="Arial"/>
        <charset val="134"/>
      </rPr>
      <t>All Pathways inside &amp; Outside plant.</t>
    </r>
    <r>
      <rPr>
        <b/>
        <sz val="12"/>
        <color theme="1"/>
        <rFont val="Arial"/>
        <charset val="134"/>
      </rPr>
      <t xml:space="preserve">                        </t>
    </r>
  </si>
  <si>
    <r>
      <rPr>
        <b/>
        <sz val="12"/>
        <color theme="1"/>
        <rFont val="Arial"/>
        <charset val="134"/>
      </rPr>
      <t xml:space="preserve">No. of Persons: </t>
    </r>
    <r>
      <rPr>
        <sz val="12"/>
        <color theme="1"/>
        <rFont val="Arial"/>
        <charset val="134"/>
      </rPr>
      <t>5</t>
    </r>
  </si>
  <si>
    <r>
      <rPr>
        <b/>
        <sz val="12"/>
        <color theme="1"/>
        <rFont val="Arial"/>
        <charset val="134"/>
      </rPr>
      <t xml:space="preserve">Job Description: </t>
    </r>
    <r>
      <rPr>
        <sz val="12"/>
        <color theme="1"/>
        <rFont val="Arial"/>
        <charset val="134"/>
      </rPr>
      <t>Roads &amp; Shopfloor Sweeping, Disposing waste, Cleaning Dust collectors, all other areas cleaning &amp; Diverting to required works whenever necessary.</t>
    </r>
  </si>
  <si>
    <r>
      <rPr>
        <b/>
        <sz val="12"/>
        <color theme="1"/>
        <rFont val="Arial"/>
        <charset val="134"/>
      </rPr>
      <t xml:space="preserve">Time: </t>
    </r>
    <r>
      <rPr>
        <sz val="12"/>
        <color theme="1"/>
        <rFont val="Arial"/>
        <charset val="134"/>
      </rPr>
      <t>7 AM to 7 PM</t>
    </r>
  </si>
  <si>
    <t>Sweeping all Roads inside plant &amp; Disposing waste.</t>
  </si>
  <si>
    <t>7 AM to 12:30 PM</t>
  </si>
  <si>
    <t>Break (8:30 AM to 9 AM)</t>
  </si>
  <si>
    <t>Dust Collectors cleaning.</t>
  </si>
  <si>
    <t>1 PM to 2 PM</t>
  </si>
  <si>
    <r>
      <rPr>
        <b/>
        <sz val="12"/>
        <color theme="1"/>
        <rFont val="Arial"/>
        <charset val="134"/>
      </rPr>
      <t xml:space="preserve">Place: </t>
    </r>
    <r>
      <rPr>
        <sz val="12"/>
        <color theme="1"/>
        <rFont val="Arial"/>
        <charset val="134"/>
      </rPr>
      <t>All Departments &amp; Main Gate</t>
    </r>
    <r>
      <rPr>
        <b/>
        <sz val="12"/>
        <color theme="1"/>
        <rFont val="Arial"/>
        <charset val="134"/>
      </rPr>
      <t xml:space="preserve">                      </t>
    </r>
  </si>
  <si>
    <t>No. of Persons: 1</t>
  </si>
  <si>
    <r>
      <rPr>
        <b/>
        <sz val="12"/>
        <color theme="1"/>
        <rFont val="Arial"/>
        <charset val="134"/>
      </rPr>
      <t xml:space="preserve">Job Description: </t>
    </r>
    <r>
      <rPr>
        <sz val="12"/>
        <color theme="1"/>
        <rFont val="Arial"/>
        <charset val="134"/>
      </rPr>
      <t>Sanitizing all Departments, Vehicles Sanitization, Main gate front sweeping &amp; watering plants.</t>
    </r>
  </si>
  <si>
    <t>Sanitizing all the Departments &amp; Shopfloor.</t>
  </si>
  <si>
    <t xml:space="preserve">7 AM to 9 AM </t>
  </si>
  <si>
    <t>Sanitizing incoming Trucks &amp; maintaining Main Gate Garden area.</t>
  </si>
  <si>
    <t>9:30 AM to 4:30 PM</t>
  </si>
  <si>
    <t>Break (12:30 PM to 1 PM)</t>
  </si>
  <si>
    <t>4:30 PM to 5 PM</t>
  </si>
  <si>
    <t>5 PM to 7 PM</t>
  </si>
  <si>
    <t>Total Man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</si>
</sst>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charset val="134"/>
      <scheme val="minor"/>
    </font>
    <font>
      <sz val="12"/>
      <color theme="1"/>
      <name val="Arial"/>
      <charset val="134"/>
    </font>
    <font>
      <b/>
      <sz val="12"/>
      <color theme="1"/>
      <name val="Arial"/>
      <charset val="134"/>
    </font>
    <font>
      <sz val="12"/>
      <color rgb="FFFF0000"/>
      <name val="Arial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75"/>
        <bgColor indexed="64"/>
      </patternFill>
    </fill>
    <fill>
      <patternFill patternType="solid">
        <fgColor rgb="FF3DFF01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right"/>
    </xf>
    <xf numFmtId="0" fontId="1" fillId="0" borderId="1" xfId="0" applyFont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wrapText="1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1" fillId="4" borderId="1" xfId="0" applyFont="1" applyFill="1" applyBorder="1"/>
    <xf numFmtId="0" fontId="1" fillId="0" borderId="1" xfId="0" applyFont="1" applyBorder="1" applyAlignment="1">
      <alignment wrapText="1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4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1" fillId="3" borderId="1" xfId="0" applyFont="1" applyFill="1" applyBorder="1"/>
    <xf numFmtId="0" fontId="2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4" xfId="0" applyFont="1" applyBorder="1"/>
    <xf numFmtId="0" fontId="2" fillId="0" borderId="3" xfId="0" applyFont="1" applyBorder="1" applyAlignment="1">
      <alignment horizontal="center"/>
    </xf>
    <xf numFmtId="0" fontId="2" fillId="0" borderId="3" xfId="0" applyFont="1" applyBorder="1"/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A476"/>
      <color rgb="FFFFC075"/>
      <color rgb="FF37FE22"/>
      <color rgb="FF3DFF0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tabSelected="1" workbookViewId="0">
      <selection activeCell="C22" sqref="C22"/>
    </sheetView>
  </sheetViews>
  <sheetFormatPr defaultColWidth="9" defaultRowHeight="15"/>
  <cols>
    <col min="1" max="1" width="8" style="2" customWidth="1"/>
    <col min="2" max="2" width="23.44140625" style="2" customWidth="1"/>
    <col min="3" max="3" width="12" style="2" customWidth="1"/>
    <col min="4" max="4" width="23" style="2" customWidth="1"/>
    <col min="5" max="5" width="13.33203125" style="2" customWidth="1"/>
    <col min="6" max="6" width="17.33203125" style="2" bestFit="1" customWidth="1"/>
    <col min="7" max="7" width="76.5546875" style="1" customWidth="1"/>
    <col min="8" max="16384" width="9" style="1"/>
  </cols>
  <sheetData>
    <row r="1" spans="1:7" ht="15.6">
      <c r="A1" s="24" t="s">
        <v>0</v>
      </c>
      <c r="B1" s="24"/>
      <c r="C1" s="24"/>
      <c r="D1" s="24"/>
      <c r="E1" s="24"/>
      <c r="F1" s="24"/>
      <c r="G1" s="24"/>
    </row>
    <row r="2" spans="1:7">
      <c r="A2" s="21" t="s">
        <v>1</v>
      </c>
      <c r="B2" s="21" t="s">
        <v>2</v>
      </c>
      <c r="C2" s="21" t="s">
        <v>3</v>
      </c>
      <c r="D2" s="21" t="s">
        <v>4</v>
      </c>
      <c r="E2" s="21" t="s">
        <v>5</v>
      </c>
      <c r="F2" s="21" t="s">
        <v>134</v>
      </c>
      <c r="G2" s="21" t="s">
        <v>6</v>
      </c>
    </row>
    <row r="3" spans="1:7" ht="30">
      <c r="A3" s="7">
        <v>1</v>
      </c>
      <c r="B3" s="7" t="s">
        <v>7</v>
      </c>
      <c r="C3" s="7">
        <v>5</v>
      </c>
      <c r="D3" s="22" t="s">
        <v>8</v>
      </c>
      <c r="E3" s="7">
        <v>12</v>
      </c>
      <c r="F3" s="7">
        <f>E3*C3</f>
        <v>60</v>
      </c>
      <c r="G3" s="18" t="s">
        <v>9</v>
      </c>
    </row>
    <row r="4" spans="1:7">
      <c r="A4" s="16">
        <v>2</v>
      </c>
      <c r="B4" s="16" t="s">
        <v>10</v>
      </c>
      <c r="C4" s="7">
        <v>1</v>
      </c>
      <c r="D4" s="5" t="s">
        <v>8</v>
      </c>
      <c r="E4" s="16">
        <v>12</v>
      </c>
      <c r="F4" s="7">
        <f t="shared" ref="F4:F13" si="0">E4*C4</f>
        <v>12</v>
      </c>
      <c r="G4" s="15" t="s">
        <v>11</v>
      </c>
    </row>
    <row r="5" spans="1:7">
      <c r="A5" s="16">
        <v>3</v>
      </c>
      <c r="B5" s="16" t="s">
        <v>12</v>
      </c>
      <c r="C5" s="7">
        <v>1</v>
      </c>
      <c r="D5" s="5" t="s">
        <v>13</v>
      </c>
      <c r="E5" s="16">
        <v>9</v>
      </c>
      <c r="F5" s="7">
        <f t="shared" si="0"/>
        <v>9</v>
      </c>
      <c r="G5" s="15" t="s">
        <v>14</v>
      </c>
    </row>
    <row r="6" spans="1:7">
      <c r="A6" s="32">
        <v>4</v>
      </c>
      <c r="B6" s="32" t="s">
        <v>15</v>
      </c>
      <c r="C6" s="32">
        <v>2</v>
      </c>
      <c r="D6" s="5" t="s">
        <v>13</v>
      </c>
      <c r="E6" s="16">
        <v>9</v>
      </c>
      <c r="F6" s="7">
        <f t="shared" si="0"/>
        <v>18</v>
      </c>
      <c r="G6" s="15" t="s">
        <v>16</v>
      </c>
    </row>
    <row r="7" spans="1:7">
      <c r="A7" s="34"/>
      <c r="B7" s="34"/>
      <c r="C7" s="34"/>
      <c r="D7" s="5" t="s">
        <v>13</v>
      </c>
      <c r="E7" s="16">
        <v>9</v>
      </c>
      <c r="F7" s="7">
        <f t="shared" si="0"/>
        <v>0</v>
      </c>
      <c r="G7" s="15" t="s">
        <v>17</v>
      </c>
    </row>
    <row r="8" spans="1:7">
      <c r="A8" s="16">
        <v>5</v>
      </c>
      <c r="B8" s="16" t="s">
        <v>18</v>
      </c>
      <c r="C8" s="7">
        <v>1</v>
      </c>
      <c r="D8" s="5" t="s">
        <v>13</v>
      </c>
      <c r="E8" s="16">
        <v>9</v>
      </c>
      <c r="F8" s="7">
        <f t="shared" si="0"/>
        <v>9</v>
      </c>
      <c r="G8" s="15" t="s">
        <v>19</v>
      </c>
    </row>
    <row r="9" spans="1:7">
      <c r="A9" s="32">
        <v>6</v>
      </c>
      <c r="B9" s="32" t="s">
        <v>20</v>
      </c>
      <c r="C9" s="32">
        <v>2</v>
      </c>
      <c r="D9" s="5" t="s">
        <v>13</v>
      </c>
      <c r="E9" s="16">
        <v>9</v>
      </c>
      <c r="F9" s="7">
        <f t="shared" si="0"/>
        <v>18</v>
      </c>
      <c r="G9" s="15" t="s">
        <v>21</v>
      </c>
    </row>
    <row r="10" spans="1:7">
      <c r="A10" s="34"/>
      <c r="B10" s="34"/>
      <c r="C10" s="34"/>
      <c r="D10" s="5" t="s">
        <v>13</v>
      </c>
      <c r="E10" s="16">
        <v>9</v>
      </c>
      <c r="F10" s="7">
        <f t="shared" si="0"/>
        <v>0</v>
      </c>
      <c r="G10" s="15" t="s">
        <v>22</v>
      </c>
    </row>
    <row r="11" spans="1:7">
      <c r="A11" s="32">
        <v>7</v>
      </c>
      <c r="B11" s="32" t="s">
        <v>23</v>
      </c>
      <c r="C11" s="32">
        <v>3</v>
      </c>
      <c r="D11" s="5" t="s">
        <v>8</v>
      </c>
      <c r="E11" s="16">
        <v>12</v>
      </c>
      <c r="F11" s="7">
        <f t="shared" si="0"/>
        <v>36</v>
      </c>
      <c r="G11" s="15" t="s">
        <v>24</v>
      </c>
    </row>
    <row r="12" spans="1:7">
      <c r="A12" s="33"/>
      <c r="B12" s="33"/>
      <c r="C12" s="33"/>
      <c r="D12" s="5" t="s">
        <v>8</v>
      </c>
      <c r="E12" s="16">
        <v>12</v>
      </c>
      <c r="F12" s="7">
        <f t="shared" si="0"/>
        <v>0</v>
      </c>
      <c r="G12" s="15" t="s">
        <v>25</v>
      </c>
    </row>
    <row r="13" spans="1:7">
      <c r="A13" s="34"/>
      <c r="B13" s="34"/>
      <c r="C13" s="34"/>
      <c r="D13" s="5" t="s">
        <v>26</v>
      </c>
      <c r="E13" s="16">
        <v>12</v>
      </c>
      <c r="F13" s="7">
        <f t="shared" si="0"/>
        <v>0</v>
      </c>
      <c r="G13" s="15" t="s">
        <v>25</v>
      </c>
    </row>
    <row r="14" spans="1:7" ht="15.6">
      <c r="A14" s="41" t="s">
        <v>27</v>
      </c>
      <c r="B14" s="41"/>
      <c r="C14" s="6">
        <f>SUM(C3:C11)</f>
        <v>15</v>
      </c>
      <c r="D14" s="6"/>
      <c r="E14" s="6">
        <f>SUM(E3:E13)</f>
        <v>114</v>
      </c>
      <c r="F14" s="6">
        <f>SUM(F3:F13)</f>
        <v>162</v>
      </c>
      <c r="G14" s="23"/>
    </row>
  </sheetData>
  <mergeCells count="11">
    <mergeCell ref="A1:G1"/>
    <mergeCell ref="A14:B14"/>
    <mergeCell ref="A6:A7"/>
    <mergeCell ref="A9:A10"/>
    <mergeCell ref="A11:A13"/>
    <mergeCell ref="B6:B7"/>
    <mergeCell ref="B9:B10"/>
    <mergeCell ref="B11:B13"/>
    <mergeCell ref="C6:C7"/>
    <mergeCell ref="C9:C10"/>
    <mergeCell ref="C11:C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8"/>
  <sheetViews>
    <sheetView workbookViewId="0">
      <selection activeCell="D12" sqref="D12"/>
    </sheetView>
  </sheetViews>
  <sheetFormatPr defaultColWidth="9" defaultRowHeight="15"/>
  <cols>
    <col min="1" max="1" width="8" style="2" customWidth="1"/>
    <col min="2" max="2" width="23.44140625" style="2" customWidth="1"/>
    <col min="3" max="3" width="12" style="2" customWidth="1"/>
    <col min="4" max="4" width="23" style="2" customWidth="1"/>
    <col min="5" max="5" width="13.33203125" style="2" customWidth="1"/>
    <col min="6" max="6" width="17.33203125" style="2" bestFit="1" customWidth="1"/>
    <col min="7" max="7" width="84.77734375" style="1" customWidth="1"/>
    <col min="8" max="8" width="9" style="45"/>
    <col min="9" max="16384" width="9" style="1"/>
  </cols>
  <sheetData>
    <row r="1" spans="1:7" ht="15.6">
      <c r="A1" s="24" t="s">
        <v>28</v>
      </c>
      <c r="B1" s="24"/>
      <c r="C1" s="24"/>
      <c r="D1" s="24"/>
      <c r="E1" s="24"/>
      <c r="F1" s="24"/>
      <c r="G1" s="24"/>
    </row>
    <row r="2" spans="1:7">
      <c r="A2" s="21" t="s">
        <v>1</v>
      </c>
      <c r="B2" s="21" t="s">
        <v>2</v>
      </c>
      <c r="C2" s="21" t="s">
        <v>3</v>
      </c>
      <c r="D2" s="21" t="s">
        <v>4</v>
      </c>
      <c r="E2" s="21" t="s">
        <v>5</v>
      </c>
      <c r="F2" s="21" t="s">
        <v>134</v>
      </c>
      <c r="G2" s="21" t="s">
        <v>6</v>
      </c>
    </row>
    <row r="3" spans="1:7" ht="30">
      <c r="A3" s="7">
        <v>1</v>
      </c>
      <c r="B3" s="7" t="s">
        <v>7</v>
      </c>
      <c r="C3" s="7">
        <v>5</v>
      </c>
      <c r="D3" s="22" t="s">
        <v>8</v>
      </c>
      <c r="E3" s="7">
        <v>12</v>
      </c>
      <c r="F3" s="7">
        <f>E3*C3</f>
        <v>60</v>
      </c>
      <c r="G3" s="18" t="s">
        <v>9</v>
      </c>
    </row>
    <row r="4" spans="1:7">
      <c r="A4" s="16">
        <v>2</v>
      </c>
      <c r="B4" s="16" t="s">
        <v>10</v>
      </c>
      <c r="C4" s="7">
        <v>1</v>
      </c>
      <c r="D4" s="5" t="s">
        <v>29</v>
      </c>
      <c r="E4" s="16">
        <v>10</v>
      </c>
      <c r="F4" s="7">
        <f t="shared" ref="F4:F9" si="0">E4*C4</f>
        <v>10</v>
      </c>
      <c r="G4" s="15" t="s">
        <v>11</v>
      </c>
    </row>
    <row r="5" spans="1:7">
      <c r="A5" s="16">
        <v>3</v>
      </c>
      <c r="B5" s="16" t="s">
        <v>12</v>
      </c>
      <c r="C5" s="7">
        <v>1</v>
      </c>
      <c r="D5" s="5" t="s">
        <v>13</v>
      </c>
      <c r="E5" s="16">
        <v>9</v>
      </c>
      <c r="F5" s="7">
        <f t="shared" si="0"/>
        <v>9</v>
      </c>
      <c r="G5" s="15" t="s">
        <v>14</v>
      </c>
    </row>
    <row r="6" spans="1:7">
      <c r="A6" s="10">
        <v>4</v>
      </c>
      <c r="B6" s="10" t="s">
        <v>15</v>
      </c>
      <c r="C6" s="10">
        <v>1</v>
      </c>
      <c r="D6" s="5" t="s">
        <v>13</v>
      </c>
      <c r="E6" s="16">
        <v>9</v>
      </c>
      <c r="F6" s="7">
        <f t="shared" si="0"/>
        <v>9</v>
      </c>
      <c r="G6" s="15" t="s">
        <v>30</v>
      </c>
    </row>
    <row r="7" spans="1:7">
      <c r="A7" s="16">
        <v>5</v>
      </c>
      <c r="B7" s="16" t="s">
        <v>18</v>
      </c>
      <c r="C7" s="7">
        <v>1</v>
      </c>
      <c r="D7" s="5" t="s">
        <v>13</v>
      </c>
      <c r="E7" s="16">
        <v>9</v>
      </c>
      <c r="F7" s="7">
        <f t="shared" si="0"/>
        <v>9</v>
      </c>
      <c r="G7" s="15" t="s">
        <v>31</v>
      </c>
    </row>
    <row r="8" spans="1:7">
      <c r="A8" s="10">
        <v>6</v>
      </c>
      <c r="B8" s="10" t="s">
        <v>20</v>
      </c>
      <c r="C8" s="10">
        <v>1</v>
      </c>
      <c r="D8" s="5" t="s">
        <v>13</v>
      </c>
      <c r="E8" s="16">
        <v>9</v>
      </c>
      <c r="F8" s="7">
        <f t="shared" si="0"/>
        <v>9</v>
      </c>
      <c r="G8" s="15" t="s">
        <v>32</v>
      </c>
    </row>
    <row r="9" spans="1:7" ht="30">
      <c r="A9" s="10">
        <v>7</v>
      </c>
      <c r="B9" s="10" t="s">
        <v>23</v>
      </c>
      <c r="C9" s="10">
        <v>1</v>
      </c>
      <c r="D9" s="22" t="s">
        <v>8</v>
      </c>
      <c r="E9" s="7">
        <v>12</v>
      </c>
      <c r="F9" s="7">
        <f t="shared" si="0"/>
        <v>12</v>
      </c>
      <c r="G9" s="14" t="s">
        <v>33</v>
      </c>
    </row>
    <row r="10" spans="1:7" ht="15.6">
      <c r="A10" s="41" t="s">
        <v>27</v>
      </c>
      <c r="B10" s="41"/>
      <c r="C10" s="6">
        <f>SUM(C3:C9)</f>
        <v>11</v>
      </c>
      <c r="D10" s="6"/>
      <c r="E10" s="6">
        <f>SUM(E3:E9)</f>
        <v>70</v>
      </c>
      <c r="F10" s="6">
        <f>SUM(F3:F9)</f>
        <v>118</v>
      </c>
      <c r="G10" s="23"/>
    </row>
    <row r="18" spans="7:8">
      <c r="G18" s="1">
        <f>162-118</f>
        <v>44</v>
      </c>
      <c r="H18" s="45">
        <f>44/162</f>
        <v>0.27160493827160492</v>
      </c>
    </row>
  </sheetData>
  <mergeCells count="2">
    <mergeCell ref="A1:G1"/>
    <mergeCell ref="A10:B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14"/>
  <sheetViews>
    <sheetView workbookViewId="0">
      <selection activeCell="D20" sqref="D20"/>
    </sheetView>
  </sheetViews>
  <sheetFormatPr defaultColWidth="8.88671875" defaultRowHeight="15"/>
  <cols>
    <col min="1" max="1" width="6.44140625" style="1" customWidth="1"/>
    <col min="2" max="2" width="27.6640625" style="1" customWidth="1"/>
    <col min="3" max="3" width="22.88671875" style="1" customWidth="1"/>
    <col min="4" max="4" width="13" style="2" customWidth="1"/>
    <col min="5" max="35" width="4.77734375" style="1" customWidth="1"/>
    <col min="36" max="16384" width="8.88671875" style="1"/>
  </cols>
  <sheetData>
    <row r="1" spans="1:35" ht="15.6">
      <c r="A1" s="24" t="s">
        <v>34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</row>
    <row r="2" spans="1:35" ht="15.6">
      <c r="A2" s="25" t="s">
        <v>35</v>
      </c>
      <c r="B2" s="26"/>
      <c r="C2" s="25" t="s">
        <v>36</v>
      </c>
      <c r="D2" s="27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6"/>
    </row>
    <row r="3" spans="1:35" ht="15.6">
      <c r="A3" s="25" t="s">
        <v>37</v>
      </c>
      <c r="B3" s="28"/>
      <c r="C3" s="28"/>
      <c r="D3" s="27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6"/>
    </row>
    <row r="4" spans="1:35" ht="15.6">
      <c r="A4" s="29" t="s">
        <v>38</v>
      </c>
      <c r="B4" s="29"/>
      <c r="C4" s="29"/>
      <c r="D4" s="30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</row>
    <row r="5" spans="1:35" ht="15.6">
      <c r="A5" s="25" t="s">
        <v>39</v>
      </c>
      <c r="B5" s="26"/>
      <c r="C5" s="4" t="s">
        <v>40</v>
      </c>
      <c r="D5" s="3">
        <v>600</v>
      </c>
      <c r="E5" s="29" t="s">
        <v>41</v>
      </c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</row>
    <row r="6" spans="1:35" ht="15.6">
      <c r="A6" s="6" t="s">
        <v>1</v>
      </c>
      <c r="B6" s="6" t="s">
        <v>2</v>
      </c>
      <c r="C6" s="6" t="s">
        <v>4</v>
      </c>
      <c r="D6" s="6" t="s">
        <v>42</v>
      </c>
      <c r="E6" s="6">
        <v>1</v>
      </c>
      <c r="F6" s="6">
        <v>2</v>
      </c>
      <c r="G6" s="6">
        <v>3</v>
      </c>
      <c r="H6" s="6">
        <v>4</v>
      </c>
      <c r="I6" s="6">
        <v>5</v>
      </c>
      <c r="J6" s="6">
        <v>6</v>
      </c>
      <c r="K6" s="6">
        <v>7</v>
      </c>
      <c r="L6" s="6">
        <v>8</v>
      </c>
      <c r="M6" s="6">
        <v>9</v>
      </c>
      <c r="N6" s="6">
        <v>10</v>
      </c>
      <c r="O6" s="6">
        <v>11</v>
      </c>
      <c r="P6" s="6">
        <v>12</v>
      </c>
      <c r="Q6" s="6">
        <v>13</v>
      </c>
      <c r="R6" s="6">
        <v>14</v>
      </c>
      <c r="S6" s="6">
        <v>15</v>
      </c>
      <c r="T6" s="6">
        <v>16</v>
      </c>
      <c r="U6" s="6">
        <v>17</v>
      </c>
      <c r="V6" s="6">
        <v>18</v>
      </c>
      <c r="W6" s="6">
        <v>19</v>
      </c>
      <c r="X6" s="6">
        <v>20</v>
      </c>
      <c r="Y6" s="6">
        <v>21</v>
      </c>
      <c r="Z6" s="6">
        <v>22</v>
      </c>
      <c r="AA6" s="6">
        <v>23</v>
      </c>
      <c r="AB6" s="6">
        <v>24</v>
      </c>
      <c r="AC6" s="6">
        <v>25</v>
      </c>
      <c r="AD6" s="6">
        <v>26</v>
      </c>
      <c r="AE6" s="6">
        <v>27</v>
      </c>
      <c r="AF6" s="6">
        <v>28</v>
      </c>
      <c r="AG6" s="6">
        <v>29</v>
      </c>
      <c r="AH6" s="6">
        <v>30</v>
      </c>
      <c r="AI6" s="6">
        <v>31</v>
      </c>
    </row>
    <row r="7" spans="1:35" ht="30">
      <c r="A7" s="7">
        <v>1</v>
      </c>
      <c r="B7" s="8" t="s">
        <v>43</v>
      </c>
      <c r="C7" s="16" t="s">
        <v>44</v>
      </c>
      <c r="D7" s="16">
        <v>120</v>
      </c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</row>
    <row r="8" spans="1:35">
      <c r="A8" s="19"/>
      <c r="B8" s="12" t="s">
        <v>45</v>
      </c>
      <c r="C8" s="12" t="s">
        <v>46</v>
      </c>
      <c r="D8" s="12">
        <v>30</v>
      </c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</row>
    <row r="9" spans="1:35">
      <c r="A9" s="7">
        <v>2</v>
      </c>
      <c r="B9" s="15" t="s">
        <v>47</v>
      </c>
      <c r="C9" s="16" t="s">
        <v>48</v>
      </c>
      <c r="D9" s="16">
        <v>120</v>
      </c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</row>
    <row r="10" spans="1:35" ht="30">
      <c r="A10" s="32">
        <v>3</v>
      </c>
      <c r="B10" s="14" t="s">
        <v>49</v>
      </c>
      <c r="C10" s="20" t="s">
        <v>50</v>
      </c>
      <c r="D10" s="7">
        <v>60</v>
      </c>
      <c r="E10" s="35" t="s">
        <v>51</v>
      </c>
      <c r="F10" s="35" t="s">
        <v>52</v>
      </c>
      <c r="G10" s="35" t="s">
        <v>53</v>
      </c>
      <c r="H10" s="35" t="s">
        <v>54</v>
      </c>
      <c r="I10" s="35" t="s">
        <v>55</v>
      </c>
      <c r="J10" s="35" t="s">
        <v>56</v>
      </c>
      <c r="K10" s="35" t="s">
        <v>57</v>
      </c>
      <c r="L10" s="35" t="s">
        <v>58</v>
      </c>
      <c r="M10" s="35" t="s">
        <v>59</v>
      </c>
      <c r="N10" s="35" t="s">
        <v>60</v>
      </c>
      <c r="O10" s="35" t="s">
        <v>51</v>
      </c>
      <c r="P10" s="35" t="s">
        <v>52</v>
      </c>
      <c r="Q10" s="35" t="s">
        <v>53</v>
      </c>
      <c r="R10" s="35" t="s">
        <v>54</v>
      </c>
      <c r="S10" s="35" t="s">
        <v>55</v>
      </c>
      <c r="T10" s="35" t="s">
        <v>56</v>
      </c>
      <c r="U10" s="35" t="s">
        <v>57</v>
      </c>
      <c r="V10" s="35" t="s">
        <v>58</v>
      </c>
      <c r="W10" s="35" t="s">
        <v>59</v>
      </c>
      <c r="X10" s="35" t="s">
        <v>60</v>
      </c>
      <c r="Y10" s="35" t="s">
        <v>51</v>
      </c>
      <c r="Z10" s="35" t="s">
        <v>52</v>
      </c>
      <c r="AA10" s="35" t="s">
        <v>53</v>
      </c>
      <c r="AB10" s="35" t="s">
        <v>54</v>
      </c>
      <c r="AC10" s="35" t="s">
        <v>55</v>
      </c>
      <c r="AD10" s="35" t="s">
        <v>56</v>
      </c>
      <c r="AE10" s="35" t="s">
        <v>57</v>
      </c>
      <c r="AF10" s="35" t="s">
        <v>58</v>
      </c>
      <c r="AG10" s="35" t="s">
        <v>59</v>
      </c>
      <c r="AH10" s="35" t="s">
        <v>60</v>
      </c>
      <c r="AI10" s="38"/>
    </row>
    <row r="11" spans="1:35">
      <c r="A11" s="33"/>
      <c r="B11" s="12" t="s">
        <v>45</v>
      </c>
      <c r="C11" s="12" t="s">
        <v>61</v>
      </c>
      <c r="D11" s="12">
        <v>30</v>
      </c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9"/>
    </row>
    <row r="12" spans="1:35" ht="30">
      <c r="A12" s="34"/>
      <c r="B12" s="14" t="s">
        <v>49</v>
      </c>
      <c r="C12" s="7" t="s">
        <v>62</v>
      </c>
      <c r="D12" s="7">
        <v>240</v>
      </c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40"/>
    </row>
    <row r="13" spans="1:35" ht="15.6">
      <c r="C13" s="3" t="s">
        <v>63</v>
      </c>
      <c r="D13" s="16">
        <f>SUM(D7:D12)</f>
        <v>600</v>
      </c>
    </row>
    <row r="14" spans="1:35" ht="15.6">
      <c r="C14" s="3" t="s">
        <v>64</v>
      </c>
      <c r="D14" s="16">
        <f>D5-D13</f>
        <v>0</v>
      </c>
    </row>
  </sheetData>
  <mergeCells count="39">
    <mergeCell ref="AG10:AG12"/>
    <mergeCell ref="AH10:AH12"/>
    <mergeCell ref="AI10:AI12"/>
    <mergeCell ref="AB10:AB12"/>
    <mergeCell ref="AC10:AC12"/>
    <mergeCell ref="AD10:AD12"/>
    <mergeCell ref="AE10:AE12"/>
    <mergeCell ref="AF10:AF12"/>
    <mergeCell ref="W10:W12"/>
    <mergeCell ref="X10:X12"/>
    <mergeCell ref="Y10:Y12"/>
    <mergeCell ref="Z10:Z12"/>
    <mergeCell ref="AA10:AA12"/>
    <mergeCell ref="R10:R12"/>
    <mergeCell ref="S10:S12"/>
    <mergeCell ref="T10:T12"/>
    <mergeCell ref="U10:U12"/>
    <mergeCell ref="V10:V12"/>
    <mergeCell ref="A5:B5"/>
    <mergeCell ref="E5:AI5"/>
    <mergeCell ref="A10:A12"/>
    <mergeCell ref="E10:E12"/>
    <mergeCell ref="F10:F12"/>
    <mergeCell ref="G10:G12"/>
    <mergeCell ref="H10:H12"/>
    <mergeCell ref="I10:I12"/>
    <mergeCell ref="J10:J12"/>
    <mergeCell ref="K10:K12"/>
    <mergeCell ref="L10:L12"/>
    <mergeCell ref="M10:M12"/>
    <mergeCell ref="N10:N12"/>
    <mergeCell ref="O10:O12"/>
    <mergeCell ref="P10:P12"/>
    <mergeCell ref="Q10:Q12"/>
    <mergeCell ref="A1:AI1"/>
    <mergeCell ref="A2:B2"/>
    <mergeCell ref="C2:AI2"/>
    <mergeCell ref="A3:AI3"/>
    <mergeCell ref="A4:AI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18"/>
  <sheetViews>
    <sheetView workbookViewId="0">
      <selection activeCell="C26" sqref="C26"/>
    </sheetView>
  </sheetViews>
  <sheetFormatPr defaultColWidth="8.88671875" defaultRowHeight="15"/>
  <cols>
    <col min="1" max="1" width="6.44140625" style="1" customWidth="1"/>
    <col min="2" max="2" width="32.5546875" style="1" customWidth="1"/>
    <col min="3" max="3" width="22.88671875" style="1" customWidth="1"/>
    <col min="4" max="4" width="10" style="2" customWidth="1"/>
    <col min="5" max="35" width="4.77734375" style="1" customWidth="1"/>
    <col min="36" max="16384" width="8.88671875" style="1"/>
  </cols>
  <sheetData>
    <row r="1" spans="1:35" ht="15.6">
      <c r="A1" s="24" t="s">
        <v>34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</row>
    <row r="2" spans="1:35" ht="15.6">
      <c r="A2" s="25" t="s">
        <v>65</v>
      </c>
      <c r="B2" s="26"/>
      <c r="C2" s="25"/>
      <c r="D2" s="27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6"/>
    </row>
    <row r="3" spans="1:35" ht="15.6">
      <c r="A3" s="25" t="s">
        <v>37</v>
      </c>
      <c r="B3" s="28"/>
      <c r="C3" s="28"/>
      <c r="D3" s="27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6"/>
    </row>
    <row r="4" spans="1:35" ht="15.6">
      <c r="A4" s="29" t="s">
        <v>66</v>
      </c>
      <c r="B4" s="29"/>
      <c r="C4" s="29"/>
      <c r="D4" s="30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</row>
    <row r="5" spans="1:35" ht="15.6">
      <c r="A5" s="25" t="s">
        <v>67</v>
      </c>
      <c r="B5" s="26"/>
      <c r="C5" s="4" t="s">
        <v>40</v>
      </c>
      <c r="D5" s="3">
        <v>540</v>
      </c>
      <c r="E5" s="29" t="s">
        <v>41</v>
      </c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</row>
    <row r="6" spans="1:35" ht="15.6">
      <c r="A6" s="6" t="s">
        <v>1</v>
      </c>
      <c r="B6" s="6" t="s">
        <v>2</v>
      </c>
      <c r="C6" s="6" t="s">
        <v>4</v>
      </c>
      <c r="D6" s="6" t="s">
        <v>42</v>
      </c>
      <c r="E6" s="6">
        <v>1</v>
      </c>
      <c r="F6" s="6">
        <v>2</v>
      </c>
      <c r="G6" s="6">
        <v>3</v>
      </c>
      <c r="H6" s="6">
        <v>4</v>
      </c>
      <c r="I6" s="6">
        <v>5</v>
      </c>
      <c r="J6" s="6">
        <v>6</v>
      </c>
      <c r="K6" s="6">
        <v>7</v>
      </c>
      <c r="L6" s="6">
        <v>8</v>
      </c>
      <c r="M6" s="6">
        <v>9</v>
      </c>
      <c r="N6" s="6">
        <v>10</v>
      </c>
      <c r="O6" s="6">
        <v>11</v>
      </c>
      <c r="P6" s="6">
        <v>12</v>
      </c>
      <c r="Q6" s="6">
        <v>13</v>
      </c>
      <c r="R6" s="6">
        <v>14</v>
      </c>
      <c r="S6" s="6">
        <v>15</v>
      </c>
      <c r="T6" s="6">
        <v>16</v>
      </c>
      <c r="U6" s="6">
        <v>17</v>
      </c>
      <c r="V6" s="6">
        <v>18</v>
      </c>
      <c r="W6" s="6">
        <v>19</v>
      </c>
      <c r="X6" s="6">
        <v>20</v>
      </c>
      <c r="Y6" s="6">
        <v>21</v>
      </c>
      <c r="Z6" s="6">
        <v>22</v>
      </c>
      <c r="AA6" s="6">
        <v>23</v>
      </c>
      <c r="AB6" s="6">
        <v>24</v>
      </c>
      <c r="AC6" s="6">
        <v>25</v>
      </c>
      <c r="AD6" s="6">
        <v>26</v>
      </c>
      <c r="AE6" s="6">
        <v>27</v>
      </c>
      <c r="AF6" s="6">
        <v>28</v>
      </c>
      <c r="AG6" s="6">
        <v>29</v>
      </c>
      <c r="AH6" s="6">
        <v>30</v>
      </c>
      <c r="AI6" s="6">
        <v>31</v>
      </c>
    </row>
    <row r="7" spans="1:35" ht="30">
      <c r="A7" s="7">
        <v>1</v>
      </c>
      <c r="B7" s="8" t="s">
        <v>68</v>
      </c>
      <c r="C7" s="17" t="s">
        <v>69</v>
      </c>
      <c r="D7" s="7">
        <v>90</v>
      </c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</row>
    <row r="8" spans="1:35">
      <c r="A8" s="19"/>
      <c r="B8" s="12" t="s">
        <v>45</v>
      </c>
      <c r="C8" s="12" t="s">
        <v>46</v>
      </c>
      <c r="D8" s="12">
        <v>30</v>
      </c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</row>
    <row r="9" spans="1:35">
      <c r="A9" s="7">
        <v>2</v>
      </c>
      <c r="B9" s="15" t="s">
        <v>70</v>
      </c>
      <c r="C9" s="16" t="s">
        <v>71</v>
      </c>
      <c r="D9" s="16">
        <v>90</v>
      </c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</row>
    <row r="10" spans="1:35">
      <c r="A10" s="7">
        <v>3</v>
      </c>
      <c r="B10" s="16" t="s">
        <v>72</v>
      </c>
      <c r="C10" s="16" t="s">
        <v>73</v>
      </c>
      <c r="D10" s="16">
        <v>60</v>
      </c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</row>
    <row r="11" spans="1:35">
      <c r="A11" s="19"/>
      <c r="B11" s="12" t="s">
        <v>45</v>
      </c>
      <c r="C11" s="12" t="s">
        <v>74</v>
      </c>
      <c r="D11" s="12">
        <v>30</v>
      </c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</row>
    <row r="12" spans="1:35">
      <c r="A12" s="7">
        <v>4</v>
      </c>
      <c r="B12" s="15" t="s">
        <v>75</v>
      </c>
      <c r="C12" s="16" t="s">
        <v>76</v>
      </c>
      <c r="D12" s="16">
        <v>90</v>
      </c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</row>
    <row r="13" spans="1:35">
      <c r="A13" s="7"/>
      <c r="B13" s="15"/>
      <c r="C13" s="16"/>
      <c r="D13" s="16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</row>
    <row r="14" spans="1:35">
      <c r="A14" s="7"/>
      <c r="B14" s="15"/>
      <c r="C14" s="16"/>
      <c r="D14" s="16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</row>
    <row r="15" spans="1:35">
      <c r="A15" s="7"/>
      <c r="B15" s="16"/>
      <c r="C15" s="16"/>
      <c r="D15" s="16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</row>
    <row r="16" spans="1:35" ht="15.6">
      <c r="C16" s="3" t="s">
        <v>63</v>
      </c>
      <c r="D16" s="16">
        <f>SUM(D7:D15)</f>
        <v>390</v>
      </c>
    </row>
    <row r="17" spans="2:4" ht="15.6">
      <c r="C17" s="3" t="s">
        <v>64</v>
      </c>
      <c r="D17" s="16">
        <f>D5-D16</f>
        <v>150</v>
      </c>
    </row>
    <row r="18" spans="2:4">
      <c r="B18" s="2"/>
    </row>
  </sheetData>
  <mergeCells count="7">
    <mergeCell ref="A5:B5"/>
    <mergeCell ref="E5:AI5"/>
    <mergeCell ref="A1:AI1"/>
    <mergeCell ref="A2:B2"/>
    <mergeCell ref="C2:AI2"/>
    <mergeCell ref="A3:AI3"/>
    <mergeCell ref="A4:AI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18"/>
  <sheetViews>
    <sheetView workbookViewId="0">
      <selection activeCell="K26" sqref="K26"/>
    </sheetView>
  </sheetViews>
  <sheetFormatPr defaultColWidth="8.88671875" defaultRowHeight="15"/>
  <cols>
    <col min="1" max="1" width="6.44140625" style="1" customWidth="1"/>
    <col min="2" max="2" width="32.5546875" style="1" customWidth="1"/>
    <col min="3" max="3" width="22.88671875" style="1" customWidth="1"/>
    <col min="4" max="4" width="10" style="2" customWidth="1"/>
    <col min="5" max="35" width="4.77734375" style="1" customWidth="1"/>
    <col min="36" max="16384" width="8.88671875" style="1"/>
  </cols>
  <sheetData>
    <row r="1" spans="1:35" ht="15.6">
      <c r="A1" s="24" t="s">
        <v>34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</row>
    <row r="2" spans="1:35" ht="15.6">
      <c r="A2" s="25" t="s">
        <v>77</v>
      </c>
      <c r="B2" s="26"/>
      <c r="C2" s="25"/>
      <c r="D2" s="27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6"/>
    </row>
    <row r="3" spans="1:35" ht="15.6">
      <c r="A3" s="25" t="s">
        <v>37</v>
      </c>
      <c r="B3" s="28"/>
      <c r="C3" s="28"/>
      <c r="D3" s="27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6"/>
    </row>
    <row r="4" spans="1:35" ht="15.6">
      <c r="A4" s="29" t="s">
        <v>78</v>
      </c>
      <c r="B4" s="29"/>
      <c r="C4" s="29"/>
      <c r="D4" s="30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</row>
    <row r="5" spans="1:35" ht="15.6">
      <c r="A5" s="25" t="s">
        <v>67</v>
      </c>
      <c r="B5" s="26"/>
      <c r="C5" s="4" t="s">
        <v>40</v>
      </c>
      <c r="D5" s="3">
        <v>540</v>
      </c>
      <c r="E5" s="29" t="s">
        <v>41</v>
      </c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</row>
    <row r="6" spans="1:35" ht="15.6">
      <c r="A6" s="6" t="s">
        <v>1</v>
      </c>
      <c r="B6" s="6" t="s">
        <v>2</v>
      </c>
      <c r="C6" s="6" t="s">
        <v>4</v>
      </c>
      <c r="D6" s="6" t="s">
        <v>42</v>
      </c>
      <c r="E6" s="6">
        <v>1</v>
      </c>
      <c r="F6" s="6">
        <v>2</v>
      </c>
      <c r="G6" s="6">
        <v>3</v>
      </c>
      <c r="H6" s="6">
        <v>4</v>
      </c>
      <c r="I6" s="6">
        <v>5</v>
      </c>
      <c r="J6" s="6">
        <v>6</v>
      </c>
      <c r="K6" s="6">
        <v>7</v>
      </c>
      <c r="L6" s="6">
        <v>8</v>
      </c>
      <c r="M6" s="6">
        <v>9</v>
      </c>
      <c r="N6" s="6">
        <v>10</v>
      </c>
      <c r="O6" s="6">
        <v>11</v>
      </c>
      <c r="P6" s="6">
        <v>12</v>
      </c>
      <c r="Q6" s="6">
        <v>13</v>
      </c>
      <c r="R6" s="6">
        <v>14</v>
      </c>
      <c r="S6" s="6">
        <v>15</v>
      </c>
      <c r="T6" s="6">
        <v>16</v>
      </c>
      <c r="U6" s="6">
        <v>17</v>
      </c>
      <c r="V6" s="6">
        <v>18</v>
      </c>
      <c r="W6" s="6">
        <v>19</v>
      </c>
      <c r="X6" s="6">
        <v>20</v>
      </c>
      <c r="Y6" s="6">
        <v>21</v>
      </c>
      <c r="Z6" s="6">
        <v>22</v>
      </c>
      <c r="AA6" s="6">
        <v>23</v>
      </c>
      <c r="AB6" s="6">
        <v>24</v>
      </c>
      <c r="AC6" s="6">
        <v>25</v>
      </c>
      <c r="AD6" s="6">
        <v>26</v>
      </c>
      <c r="AE6" s="6">
        <v>27</v>
      </c>
      <c r="AF6" s="6">
        <v>28</v>
      </c>
      <c r="AG6" s="6">
        <v>29</v>
      </c>
      <c r="AH6" s="6">
        <v>30</v>
      </c>
      <c r="AI6" s="6">
        <v>31</v>
      </c>
    </row>
    <row r="7" spans="1:35">
      <c r="A7" s="7">
        <v>1</v>
      </c>
      <c r="B7" s="8" t="s">
        <v>79</v>
      </c>
      <c r="C7" s="17" t="s">
        <v>80</v>
      </c>
      <c r="D7" s="7">
        <v>60</v>
      </c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</row>
    <row r="8" spans="1:35">
      <c r="A8" s="42" t="s">
        <v>45</v>
      </c>
      <c r="B8" s="43"/>
      <c r="C8" s="12" t="s">
        <v>81</v>
      </c>
      <c r="D8" s="12">
        <v>30</v>
      </c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</row>
    <row r="9" spans="1:35" ht="30">
      <c r="A9" s="7">
        <v>2</v>
      </c>
      <c r="B9" s="14" t="s">
        <v>82</v>
      </c>
      <c r="C9" s="7" t="s">
        <v>83</v>
      </c>
      <c r="D9" s="7">
        <v>120</v>
      </c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</row>
    <row r="10" spans="1:35" ht="30">
      <c r="A10" s="7">
        <v>3</v>
      </c>
      <c r="B10" s="8" t="s">
        <v>84</v>
      </c>
      <c r="C10" s="16" t="s">
        <v>73</v>
      </c>
      <c r="D10" s="16">
        <v>60</v>
      </c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</row>
    <row r="11" spans="1:35">
      <c r="A11" s="42" t="s">
        <v>45</v>
      </c>
      <c r="B11" s="43"/>
      <c r="C11" s="12" t="s">
        <v>85</v>
      </c>
      <c r="D11" s="12">
        <v>30</v>
      </c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</row>
    <row r="12" spans="1:35" ht="30">
      <c r="A12" s="7">
        <v>4</v>
      </c>
      <c r="B12" s="14" t="s">
        <v>86</v>
      </c>
      <c r="C12" s="16" t="s">
        <v>87</v>
      </c>
      <c r="D12" s="16">
        <v>90</v>
      </c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</row>
    <row r="13" spans="1:35">
      <c r="A13" s="7"/>
      <c r="B13" s="15"/>
      <c r="C13" s="16"/>
      <c r="D13" s="16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</row>
    <row r="14" spans="1:35">
      <c r="A14" s="7"/>
      <c r="B14" s="15"/>
      <c r="C14" s="16"/>
      <c r="D14" s="16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</row>
    <row r="15" spans="1:35">
      <c r="A15" s="7"/>
      <c r="B15" s="16"/>
      <c r="C15" s="16"/>
      <c r="D15" s="16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</row>
    <row r="16" spans="1:35" ht="15.6">
      <c r="C16" s="3" t="s">
        <v>63</v>
      </c>
      <c r="D16" s="16">
        <f>SUM(D7:D15)</f>
        <v>390</v>
      </c>
    </row>
    <row r="17" spans="2:4" ht="15.6">
      <c r="C17" s="3" t="s">
        <v>64</v>
      </c>
      <c r="D17" s="16">
        <f>D5-D16</f>
        <v>150</v>
      </c>
    </row>
    <row r="18" spans="2:4">
      <c r="B18" s="2"/>
    </row>
  </sheetData>
  <mergeCells count="9">
    <mergeCell ref="A5:B5"/>
    <mergeCell ref="E5:AI5"/>
    <mergeCell ref="A8:B8"/>
    <mergeCell ref="A11:B11"/>
    <mergeCell ref="A1:AI1"/>
    <mergeCell ref="A2:B2"/>
    <mergeCell ref="C2:AI2"/>
    <mergeCell ref="A3:AI3"/>
    <mergeCell ref="A4:AI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18"/>
  <sheetViews>
    <sheetView workbookViewId="0">
      <selection activeCell="B19" sqref="B19"/>
    </sheetView>
  </sheetViews>
  <sheetFormatPr defaultColWidth="8.88671875" defaultRowHeight="15"/>
  <cols>
    <col min="1" max="1" width="6.44140625" style="1" customWidth="1"/>
    <col min="2" max="2" width="32.5546875" style="1" customWidth="1"/>
    <col min="3" max="3" width="25.77734375" style="1" customWidth="1"/>
    <col min="4" max="4" width="10" style="2" customWidth="1"/>
    <col min="5" max="35" width="4.77734375" style="1" customWidth="1"/>
    <col min="36" max="16384" width="8.88671875" style="1"/>
  </cols>
  <sheetData>
    <row r="1" spans="1:35" ht="15.6">
      <c r="A1" s="24" t="s">
        <v>34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</row>
    <row r="2" spans="1:35" ht="15.6">
      <c r="A2" s="25" t="s">
        <v>88</v>
      </c>
      <c r="B2" s="26"/>
      <c r="C2" s="25"/>
      <c r="D2" s="27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6"/>
    </row>
    <row r="3" spans="1:35" ht="15.6">
      <c r="A3" s="25" t="s">
        <v>37</v>
      </c>
      <c r="B3" s="28"/>
      <c r="C3" s="28"/>
      <c r="D3" s="27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6"/>
    </row>
    <row r="4" spans="1:35" ht="15.6">
      <c r="A4" s="29" t="s">
        <v>89</v>
      </c>
      <c r="B4" s="29"/>
      <c r="C4" s="29"/>
      <c r="D4" s="30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</row>
    <row r="5" spans="1:35" ht="15.6">
      <c r="A5" s="25" t="s">
        <v>67</v>
      </c>
      <c r="B5" s="26"/>
      <c r="C5" s="4" t="s">
        <v>40</v>
      </c>
      <c r="D5" s="3">
        <v>540</v>
      </c>
      <c r="E5" s="29" t="s">
        <v>41</v>
      </c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</row>
    <row r="6" spans="1:35" ht="15.6">
      <c r="A6" s="6" t="s">
        <v>1</v>
      </c>
      <c r="B6" s="6" t="s">
        <v>2</v>
      </c>
      <c r="C6" s="6" t="s">
        <v>4</v>
      </c>
      <c r="D6" s="6" t="s">
        <v>42</v>
      </c>
      <c r="E6" s="6">
        <v>1</v>
      </c>
      <c r="F6" s="6">
        <v>2</v>
      </c>
      <c r="G6" s="6">
        <v>3</v>
      </c>
      <c r="H6" s="6">
        <v>4</v>
      </c>
      <c r="I6" s="6">
        <v>5</v>
      </c>
      <c r="J6" s="6">
        <v>6</v>
      </c>
      <c r="K6" s="6">
        <v>7</v>
      </c>
      <c r="L6" s="6">
        <v>8</v>
      </c>
      <c r="M6" s="6">
        <v>9</v>
      </c>
      <c r="N6" s="6">
        <v>10</v>
      </c>
      <c r="O6" s="6">
        <v>11</v>
      </c>
      <c r="P6" s="6">
        <v>12</v>
      </c>
      <c r="Q6" s="6">
        <v>13</v>
      </c>
      <c r="R6" s="6">
        <v>14</v>
      </c>
      <c r="S6" s="6">
        <v>15</v>
      </c>
      <c r="T6" s="6">
        <v>16</v>
      </c>
      <c r="U6" s="6">
        <v>17</v>
      </c>
      <c r="V6" s="6">
        <v>18</v>
      </c>
      <c r="W6" s="6">
        <v>19</v>
      </c>
      <c r="X6" s="6">
        <v>20</v>
      </c>
      <c r="Y6" s="6">
        <v>21</v>
      </c>
      <c r="Z6" s="6">
        <v>22</v>
      </c>
      <c r="AA6" s="6">
        <v>23</v>
      </c>
      <c r="AB6" s="6">
        <v>24</v>
      </c>
      <c r="AC6" s="6">
        <v>25</v>
      </c>
      <c r="AD6" s="6">
        <v>26</v>
      </c>
      <c r="AE6" s="6">
        <v>27</v>
      </c>
      <c r="AF6" s="6">
        <v>28</v>
      </c>
      <c r="AG6" s="6">
        <v>29</v>
      </c>
      <c r="AH6" s="6">
        <v>30</v>
      </c>
      <c r="AI6" s="6">
        <v>31</v>
      </c>
    </row>
    <row r="7" spans="1:35" ht="30">
      <c r="A7" s="7">
        <v>1</v>
      </c>
      <c r="B7" s="14" t="s">
        <v>90</v>
      </c>
      <c r="C7" s="17" t="s">
        <v>69</v>
      </c>
      <c r="D7" s="7">
        <v>90</v>
      </c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</row>
    <row r="8" spans="1:35">
      <c r="A8" s="42" t="s">
        <v>45</v>
      </c>
      <c r="B8" s="43"/>
      <c r="C8" s="12" t="s">
        <v>46</v>
      </c>
      <c r="D8" s="12">
        <v>30</v>
      </c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</row>
    <row r="9" spans="1:35" ht="21" customHeight="1">
      <c r="A9" s="7">
        <v>2</v>
      </c>
      <c r="B9" s="18" t="s">
        <v>91</v>
      </c>
      <c r="C9" s="7" t="s">
        <v>92</v>
      </c>
      <c r="D9" s="7">
        <v>90</v>
      </c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</row>
    <row r="10" spans="1:35">
      <c r="A10" s="7">
        <v>3</v>
      </c>
      <c r="B10" s="8" t="s">
        <v>93</v>
      </c>
      <c r="C10" s="16" t="s">
        <v>94</v>
      </c>
      <c r="D10" s="16">
        <v>120</v>
      </c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</row>
    <row r="11" spans="1:35">
      <c r="A11" s="42" t="s">
        <v>45</v>
      </c>
      <c r="B11" s="43"/>
      <c r="C11" s="12" t="s">
        <v>61</v>
      </c>
      <c r="D11" s="12">
        <v>30</v>
      </c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</row>
    <row r="12" spans="1:35">
      <c r="A12" s="7"/>
      <c r="B12" s="14"/>
      <c r="C12" s="16"/>
      <c r="D12" s="16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</row>
    <row r="13" spans="1:35">
      <c r="A13" s="7"/>
      <c r="B13" s="15"/>
      <c r="C13" s="16"/>
      <c r="D13" s="16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</row>
    <row r="14" spans="1:35">
      <c r="A14" s="7"/>
      <c r="B14" s="15"/>
      <c r="C14" s="16"/>
      <c r="D14" s="16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</row>
    <row r="15" spans="1:35">
      <c r="A15" s="7"/>
      <c r="B15" s="16"/>
      <c r="C15" s="16"/>
      <c r="D15" s="16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</row>
    <row r="16" spans="1:35" ht="15.6">
      <c r="C16" s="3" t="s">
        <v>63</v>
      </c>
      <c r="D16" s="16">
        <f>SUM(D7:D15)</f>
        <v>360</v>
      </c>
    </row>
    <row r="17" spans="2:4" ht="15.6">
      <c r="C17" s="3" t="s">
        <v>64</v>
      </c>
      <c r="D17" s="16">
        <f>D5-D16</f>
        <v>180</v>
      </c>
    </row>
    <row r="18" spans="2:4">
      <c r="B18" s="2"/>
    </row>
  </sheetData>
  <mergeCells count="9">
    <mergeCell ref="A5:B5"/>
    <mergeCell ref="E5:AI5"/>
    <mergeCell ref="A8:B8"/>
    <mergeCell ref="A11:B11"/>
    <mergeCell ref="A1:AI1"/>
    <mergeCell ref="A2:B2"/>
    <mergeCell ref="C2:AI2"/>
    <mergeCell ref="A3:AI3"/>
    <mergeCell ref="A4:AI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I22"/>
  <sheetViews>
    <sheetView workbookViewId="0">
      <selection activeCell="G18" sqref="G18"/>
    </sheetView>
  </sheetViews>
  <sheetFormatPr defaultColWidth="8.88671875" defaultRowHeight="15"/>
  <cols>
    <col min="1" max="1" width="6.44140625" style="1" customWidth="1"/>
    <col min="2" max="2" width="32.5546875" style="1" customWidth="1"/>
    <col min="3" max="3" width="22.88671875" style="1" customWidth="1"/>
    <col min="4" max="4" width="10" style="2" customWidth="1"/>
    <col min="5" max="17" width="4.77734375" style="1" customWidth="1"/>
    <col min="18" max="18" width="4.109375" style="1" customWidth="1"/>
    <col min="19" max="35" width="4.77734375" style="1" customWidth="1"/>
    <col min="36" max="16384" width="8.88671875" style="1"/>
  </cols>
  <sheetData>
    <row r="1" spans="1:35" ht="15.6">
      <c r="A1" s="24" t="s">
        <v>34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</row>
    <row r="2" spans="1:35" ht="15.6">
      <c r="A2" s="25" t="s">
        <v>77</v>
      </c>
      <c r="B2" s="26"/>
      <c r="C2" s="25" t="s">
        <v>95</v>
      </c>
      <c r="D2" s="27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6"/>
    </row>
    <row r="3" spans="1:35" ht="15.6">
      <c r="A3" s="25" t="s">
        <v>37</v>
      </c>
      <c r="B3" s="28"/>
      <c r="C3" s="28"/>
      <c r="D3" s="27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6"/>
    </row>
    <row r="4" spans="1:35" ht="15.6">
      <c r="A4" s="29" t="s">
        <v>96</v>
      </c>
      <c r="B4" s="29"/>
      <c r="C4" s="29"/>
      <c r="D4" s="30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</row>
    <row r="5" spans="1:35" ht="15.6">
      <c r="A5" s="25" t="s">
        <v>67</v>
      </c>
      <c r="B5" s="26"/>
      <c r="C5" s="4" t="s">
        <v>40</v>
      </c>
      <c r="D5" s="3">
        <v>540</v>
      </c>
      <c r="E5" s="29" t="s">
        <v>41</v>
      </c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</row>
    <row r="6" spans="1:35" ht="15.6">
      <c r="A6" s="6" t="s">
        <v>1</v>
      </c>
      <c r="B6" s="6" t="s">
        <v>2</v>
      </c>
      <c r="C6" s="6" t="s">
        <v>4</v>
      </c>
      <c r="D6" s="6" t="s">
        <v>42</v>
      </c>
      <c r="E6" s="6">
        <v>1</v>
      </c>
      <c r="F6" s="6">
        <v>2</v>
      </c>
      <c r="G6" s="6">
        <v>3</v>
      </c>
      <c r="H6" s="6">
        <v>4</v>
      </c>
      <c r="I6" s="6">
        <v>5</v>
      </c>
      <c r="J6" s="6">
        <v>6</v>
      </c>
      <c r="K6" s="6">
        <v>7</v>
      </c>
      <c r="L6" s="6">
        <v>8</v>
      </c>
      <c r="M6" s="6">
        <v>9</v>
      </c>
      <c r="N6" s="6">
        <v>10</v>
      </c>
      <c r="O6" s="6">
        <v>11</v>
      </c>
      <c r="P6" s="6">
        <v>12</v>
      </c>
      <c r="Q6" s="6">
        <v>13</v>
      </c>
      <c r="R6" s="6">
        <v>14</v>
      </c>
      <c r="S6" s="6">
        <v>15</v>
      </c>
      <c r="T6" s="6">
        <v>16</v>
      </c>
      <c r="U6" s="6">
        <v>17</v>
      </c>
      <c r="V6" s="6">
        <v>18</v>
      </c>
      <c r="W6" s="6">
        <v>19</v>
      </c>
      <c r="X6" s="6">
        <v>20</v>
      </c>
      <c r="Y6" s="6">
        <v>21</v>
      </c>
      <c r="Z6" s="6">
        <v>22</v>
      </c>
      <c r="AA6" s="6">
        <v>23</v>
      </c>
      <c r="AB6" s="6">
        <v>24</v>
      </c>
      <c r="AC6" s="6">
        <v>25</v>
      </c>
      <c r="AD6" s="6">
        <v>26</v>
      </c>
      <c r="AE6" s="6">
        <v>27</v>
      </c>
      <c r="AF6" s="6">
        <v>28</v>
      </c>
      <c r="AG6" s="6">
        <v>29</v>
      </c>
      <c r="AH6" s="6">
        <v>30</v>
      </c>
      <c r="AI6" s="6">
        <v>31</v>
      </c>
    </row>
    <row r="7" spans="1:35" ht="30">
      <c r="A7" s="7">
        <v>1</v>
      </c>
      <c r="B7" s="8" t="s">
        <v>97</v>
      </c>
      <c r="C7" s="17" t="s">
        <v>69</v>
      </c>
      <c r="D7" s="7">
        <v>90</v>
      </c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</row>
    <row r="8" spans="1:35">
      <c r="A8" s="42" t="s">
        <v>45</v>
      </c>
      <c r="B8" s="43"/>
      <c r="C8" s="12" t="s">
        <v>98</v>
      </c>
      <c r="D8" s="12">
        <v>45</v>
      </c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</row>
    <row r="9" spans="1:35" ht="30">
      <c r="A9" s="7">
        <v>2</v>
      </c>
      <c r="B9" s="8" t="s">
        <v>99</v>
      </c>
      <c r="C9" s="7" t="s">
        <v>100</v>
      </c>
      <c r="D9" s="7">
        <v>90</v>
      </c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</row>
    <row r="10" spans="1:35" ht="30">
      <c r="A10" s="7">
        <v>3</v>
      </c>
      <c r="B10" s="8" t="s">
        <v>101</v>
      </c>
      <c r="C10" s="7" t="s">
        <v>102</v>
      </c>
      <c r="D10" s="7">
        <v>30</v>
      </c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</row>
    <row r="11" spans="1:35">
      <c r="A11" s="42" t="s">
        <v>45</v>
      </c>
      <c r="B11" s="43"/>
      <c r="C11" s="12" t="s">
        <v>103</v>
      </c>
      <c r="D11" s="12">
        <v>45</v>
      </c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</row>
    <row r="12" spans="1:35">
      <c r="A12" s="7">
        <v>4</v>
      </c>
      <c r="B12" s="14" t="s">
        <v>104</v>
      </c>
      <c r="C12" s="16" t="s">
        <v>105</v>
      </c>
      <c r="D12" s="16">
        <v>60</v>
      </c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</row>
    <row r="13" spans="1:35">
      <c r="A13" s="7">
        <v>5</v>
      </c>
      <c r="B13" s="15" t="s">
        <v>106</v>
      </c>
      <c r="C13" s="16" t="s">
        <v>107</v>
      </c>
      <c r="D13" s="16">
        <v>60</v>
      </c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</row>
    <row r="14" spans="1:35">
      <c r="A14" s="7">
        <v>6</v>
      </c>
      <c r="B14" s="15" t="s">
        <v>108</v>
      </c>
      <c r="C14" s="16" t="s">
        <v>109</v>
      </c>
      <c r="D14" s="16">
        <v>120</v>
      </c>
      <c r="E14" s="16" t="s">
        <v>110</v>
      </c>
      <c r="F14" s="16" t="s">
        <v>111</v>
      </c>
      <c r="G14" s="16" t="s">
        <v>112</v>
      </c>
      <c r="H14" s="16" t="s">
        <v>113</v>
      </c>
      <c r="I14" s="16" t="s">
        <v>110</v>
      </c>
      <c r="J14" s="16" t="s">
        <v>111</v>
      </c>
      <c r="K14" s="16" t="s">
        <v>112</v>
      </c>
      <c r="L14" s="16" t="s">
        <v>113</v>
      </c>
      <c r="M14" s="16" t="s">
        <v>114</v>
      </c>
      <c r="N14" s="16" t="s">
        <v>110</v>
      </c>
      <c r="O14" s="16" t="s">
        <v>111</v>
      </c>
      <c r="P14" s="16" t="s">
        <v>112</v>
      </c>
      <c r="Q14" s="16" t="s">
        <v>113</v>
      </c>
      <c r="R14" s="16" t="s">
        <v>110</v>
      </c>
      <c r="S14" s="16" t="s">
        <v>111</v>
      </c>
      <c r="T14" s="16" t="s">
        <v>112</v>
      </c>
      <c r="U14" s="16" t="s">
        <v>113</v>
      </c>
      <c r="V14" s="16" t="s">
        <v>114</v>
      </c>
      <c r="W14" s="16" t="s">
        <v>110</v>
      </c>
      <c r="X14" s="16" t="s">
        <v>111</v>
      </c>
      <c r="Y14" s="16" t="s">
        <v>112</v>
      </c>
      <c r="Z14" s="16" t="s">
        <v>113</v>
      </c>
      <c r="AA14" s="16" t="s">
        <v>110</v>
      </c>
      <c r="AB14" s="16" t="s">
        <v>111</v>
      </c>
      <c r="AC14" s="16" t="s">
        <v>112</v>
      </c>
      <c r="AD14" s="16" t="s">
        <v>113</v>
      </c>
      <c r="AE14" s="16" t="s">
        <v>114</v>
      </c>
      <c r="AF14" s="16" t="s">
        <v>110</v>
      </c>
      <c r="AG14" s="16" t="s">
        <v>111</v>
      </c>
      <c r="AH14" s="16" t="s">
        <v>112</v>
      </c>
      <c r="AI14" s="16" t="s">
        <v>113</v>
      </c>
    </row>
    <row r="15" spans="1:35">
      <c r="A15" s="7"/>
      <c r="B15" s="16"/>
      <c r="C15" s="16"/>
      <c r="D15" s="16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</row>
    <row r="16" spans="1:35" ht="15.6">
      <c r="C16" s="3" t="s">
        <v>63</v>
      </c>
      <c r="D16" s="16">
        <f>SUM(D7:D15)</f>
        <v>540</v>
      </c>
    </row>
    <row r="17" spans="2:11" ht="15.6">
      <c r="C17" s="3" t="s">
        <v>64</v>
      </c>
      <c r="D17" s="16">
        <f>D5-D16</f>
        <v>0</v>
      </c>
    </row>
    <row r="18" spans="2:11">
      <c r="B18" s="2"/>
    </row>
    <row r="22" spans="2:11">
      <c r="K22" s="1">
        <f>9*60</f>
        <v>540</v>
      </c>
    </row>
  </sheetData>
  <mergeCells count="9">
    <mergeCell ref="A5:B5"/>
    <mergeCell ref="E5:AI5"/>
    <mergeCell ref="A8:B8"/>
    <mergeCell ref="A11:B11"/>
    <mergeCell ref="A1:AI1"/>
    <mergeCell ref="A2:B2"/>
    <mergeCell ref="C2:AI2"/>
    <mergeCell ref="A3:AI3"/>
    <mergeCell ref="A4:AI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I18"/>
  <sheetViews>
    <sheetView workbookViewId="0">
      <selection activeCell="P23" sqref="P23"/>
    </sheetView>
  </sheetViews>
  <sheetFormatPr defaultColWidth="8.88671875" defaultRowHeight="15"/>
  <cols>
    <col min="1" max="1" width="6.44140625" style="1" customWidth="1"/>
    <col min="2" max="2" width="32.5546875" style="1" customWidth="1"/>
    <col min="3" max="3" width="22.88671875" style="1" customWidth="1"/>
    <col min="4" max="4" width="10" style="2" customWidth="1"/>
    <col min="5" max="17" width="4.77734375" style="1" customWidth="1"/>
    <col min="18" max="18" width="4.109375" style="1" customWidth="1"/>
    <col min="19" max="35" width="4.77734375" style="1" customWidth="1"/>
    <col min="36" max="16384" width="8.88671875" style="1"/>
  </cols>
  <sheetData>
    <row r="1" spans="1:35" ht="15.6">
      <c r="A1" s="24" t="s">
        <v>34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</row>
    <row r="2" spans="1:35" ht="15.6">
      <c r="A2" s="25" t="s">
        <v>115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6"/>
    </row>
    <row r="3" spans="1:35" ht="15.6">
      <c r="A3" s="25" t="s">
        <v>116</v>
      </c>
      <c r="B3" s="28"/>
      <c r="C3" s="28"/>
      <c r="D3" s="27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6"/>
    </row>
    <row r="4" spans="1:35" ht="15.6">
      <c r="A4" s="29" t="s">
        <v>117</v>
      </c>
      <c r="B4" s="29"/>
      <c r="C4" s="29"/>
      <c r="D4" s="30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</row>
    <row r="5" spans="1:35" ht="15.6">
      <c r="A5" s="25" t="s">
        <v>118</v>
      </c>
      <c r="B5" s="26"/>
      <c r="C5" s="4" t="s">
        <v>40</v>
      </c>
      <c r="D5" s="3">
        <v>720</v>
      </c>
      <c r="E5" s="29" t="s">
        <v>41</v>
      </c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</row>
    <row r="6" spans="1:35" ht="15.6">
      <c r="A6" s="6" t="s">
        <v>1</v>
      </c>
      <c r="B6" s="6" t="s">
        <v>2</v>
      </c>
      <c r="C6" s="6" t="s">
        <v>4</v>
      </c>
      <c r="D6" s="6" t="s">
        <v>42</v>
      </c>
      <c r="E6" s="6">
        <v>1</v>
      </c>
      <c r="F6" s="6">
        <v>2</v>
      </c>
      <c r="G6" s="6">
        <v>3</v>
      </c>
      <c r="H6" s="6">
        <v>4</v>
      </c>
      <c r="I6" s="6">
        <v>5</v>
      </c>
      <c r="J6" s="6">
        <v>6</v>
      </c>
      <c r="K6" s="6">
        <v>7</v>
      </c>
      <c r="L6" s="6">
        <v>8</v>
      </c>
      <c r="M6" s="6">
        <v>9</v>
      </c>
      <c r="N6" s="6">
        <v>10</v>
      </c>
      <c r="O6" s="6">
        <v>11</v>
      </c>
      <c r="P6" s="6">
        <v>12</v>
      </c>
      <c r="Q6" s="6">
        <v>13</v>
      </c>
      <c r="R6" s="6">
        <v>14</v>
      </c>
      <c r="S6" s="6">
        <v>15</v>
      </c>
      <c r="T6" s="6">
        <v>16</v>
      </c>
      <c r="U6" s="6">
        <v>17</v>
      </c>
      <c r="V6" s="6">
        <v>18</v>
      </c>
      <c r="W6" s="6">
        <v>19</v>
      </c>
      <c r="X6" s="6">
        <v>20</v>
      </c>
      <c r="Y6" s="6">
        <v>21</v>
      </c>
      <c r="Z6" s="6">
        <v>22</v>
      </c>
      <c r="AA6" s="6">
        <v>23</v>
      </c>
      <c r="AB6" s="6">
        <v>24</v>
      </c>
      <c r="AC6" s="6">
        <v>25</v>
      </c>
      <c r="AD6" s="6">
        <v>26</v>
      </c>
      <c r="AE6" s="6">
        <v>27</v>
      </c>
      <c r="AF6" s="6">
        <v>28</v>
      </c>
      <c r="AG6" s="6">
        <v>29</v>
      </c>
      <c r="AH6" s="6">
        <v>30</v>
      </c>
      <c r="AI6" s="6">
        <v>31</v>
      </c>
    </row>
    <row r="7" spans="1:35" ht="30">
      <c r="A7" s="44">
        <v>1</v>
      </c>
      <c r="B7" s="8" t="s">
        <v>119</v>
      </c>
      <c r="C7" s="35" t="s">
        <v>120</v>
      </c>
      <c r="D7" s="32">
        <v>330</v>
      </c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</row>
    <row r="8" spans="1:35">
      <c r="A8" s="44"/>
      <c r="B8" s="12" t="s">
        <v>121</v>
      </c>
      <c r="C8" s="36"/>
      <c r="D8" s="33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</row>
    <row r="9" spans="1:35" ht="30">
      <c r="A9" s="44"/>
      <c r="B9" s="8" t="s">
        <v>119</v>
      </c>
      <c r="C9" s="37"/>
      <c r="D9" s="34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</row>
    <row r="10" spans="1:35">
      <c r="A10" s="42" t="s">
        <v>45</v>
      </c>
      <c r="B10" s="43"/>
      <c r="C10" s="12" t="s">
        <v>61</v>
      </c>
      <c r="D10" s="12">
        <v>30</v>
      </c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</row>
    <row r="11" spans="1:35">
      <c r="A11" s="7">
        <v>2</v>
      </c>
      <c r="B11" s="15" t="s">
        <v>122</v>
      </c>
      <c r="C11" s="16" t="s">
        <v>123</v>
      </c>
      <c r="D11" s="16">
        <v>60</v>
      </c>
      <c r="E11" s="16">
        <v>1</v>
      </c>
      <c r="F11" s="16">
        <v>2</v>
      </c>
      <c r="G11" s="16">
        <v>3</v>
      </c>
      <c r="H11" s="16">
        <v>4</v>
      </c>
      <c r="I11" s="16">
        <v>5</v>
      </c>
      <c r="J11" s="16">
        <v>6</v>
      </c>
      <c r="K11" s="16">
        <v>1</v>
      </c>
      <c r="L11" s="16">
        <v>2</v>
      </c>
      <c r="M11" s="16">
        <v>3</v>
      </c>
      <c r="N11" s="16">
        <v>4</v>
      </c>
      <c r="O11" s="16">
        <v>5</v>
      </c>
      <c r="P11" s="16">
        <v>6</v>
      </c>
      <c r="Q11" s="16">
        <v>1</v>
      </c>
      <c r="R11" s="16">
        <v>2</v>
      </c>
      <c r="S11" s="16">
        <v>3</v>
      </c>
      <c r="T11" s="16">
        <v>4</v>
      </c>
      <c r="U11" s="16">
        <v>5</v>
      </c>
      <c r="V11" s="16">
        <v>6</v>
      </c>
      <c r="W11" s="16">
        <v>1</v>
      </c>
      <c r="X11" s="16">
        <v>2</v>
      </c>
      <c r="Y11" s="16">
        <v>3</v>
      </c>
      <c r="Z11" s="16">
        <v>4</v>
      </c>
      <c r="AA11" s="16">
        <v>5</v>
      </c>
      <c r="AB11" s="16">
        <v>6</v>
      </c>
      <c r="AC11" s="16">
        <v>1</v>
      </c>
      <c r="AD11" s="16">
        <v>2</v>
      </c>
      <c r="AE11" s="16">
        <v>3</v>
      </c>
      <c r="AF11" s="16">
        <v>4</v>
      </c>
      <c r="AG11" s="16">
        <v>5</v>
      </c>
      <c r="AH11" s="16">
        <v>6</v>
      </c>
      <c r="AI11" s="15"/>
    </row>
    <row r="12" spans="1:35">
      <c r="A12" s="7">
        <v>3</v>
      </c>
      <c r="B12" s="15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</row>
    <row r="13" spans="1:35">
      <c r="A13" s="7"/>
      <c r="B13" s="15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</row>
    <row r="14" spans="1:35">
      <c r="A14" s="7"/>
      <c r="B14" s="15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</row>
    <row r="15" spans="1:35">
      <c r="A15" s="7"/>
      <c r="B15" s="16"/>
      <c r="C15" s="16"/>
      <c r="D15" s="16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</row>
    <row r="16" spans="1:35" ht="15.6">
      <c r="C16" s="3" t="s">
        <v>63</v>
      </c>
      <c r="D16" s="16">
        <f>SUM(D7:D15)</f>
        <v>420</v>
      </c>
    </row>
    <row r="17" spans="2:4" ht="15.6">
      <c r="C17" s="3" t="s">
        <v>64</v>
      </c>
      <c r="D17" s="16">
        <f>D5-D16</f>
        <v>300</v>
      </c>
    </row>
    <row r="18" spans="2:4">
      <c r="B18" s="2"/>
    </row>
  </sheetData>
  <mergeCells count="41">
    <mergeCell ref="AE7:AE9"/>
    <mergeCell ref="AF7:AF9"/>
    <mergeCell ref="AG7:AG9"/>
    <mergeCell ref="AH7:AH9"/>
    <mergeCell ref="AI7:AI9"/>
    <mergeCell ref="Z7:Z9"/>
    <mergeCell ref="AA7:AA9"/>
    <mergeCell ref="AB7:AB9"/>
    <mergeCell ref="AC7:AC9"/>
    <mergeCell ref="AD7:AD9"/>
    <mergeCell ref="U7:U9"/>
    <mergeCell ref="V7:V9"/>
    <mergeCell ref="W7:W9"/>
    <mergeCell ref="X7:X9"/>
    <mergeCell ref="Y7:Y9"/>
    <mergeCell ref="P7:P9"/>
    <mergeCell ref="Q7:Q9"/>
    <mergeCell ref="R7:R9"/>
    <mergeCell ref="S7:S9"/>
    <mergeCell ref="T7:T9"/>
    <mergeCell ref="K7:K9"/>
    <mergeCell ref="L7:L9"/>
    <mergeCell ref="M7:M9"/>
    <mergeCell ref="N7:N9"/>
    <mergeCell ref="O7:O9"/>
    <mergeCell ref="F7:F9"/>
    <mergeCell ref="G7:G9"/>
    <mergeCell ref="H7:H9"/>
    <mergeCell ref="I7:I9"/>
    <mergeCell ref="J7:J9"/>
    <mergeCell ref="A10:B10"/>
    <mergeCell ref="A7:A9"/>
    <mergeCell ref="C7:C9"/>
    <mergeCell ref="D7:D9"/>
    <mergeCell ref="E7:E9"/>
    <mergeCell ref="A1:AI1"/>
    <mergeCell ref="A2:AI2"/>
    <mergeCell ref="A3:AI3"/>
    <mergeCell ref="A4:AI4"/>
    <mergeCell ref="A5:B5"/>
    <mergeCell ref="E5:AI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I21"/>
  <sheetViews>
    <sheetView workbookViewId="0">
      <selection activeCell="B20" sqref="B20"/>
    </sheetView>
  </sheetViews>
  <sheetFormatPr defaultColWidth="8.88671875" defaultRowHeight="15"/>
  <cols>
    <col min="1" max="1" width="6.44140625" style="1" customWidth="1"/>
    <col min="2" max="2" width="36.21875" style="1" customWidth="1"/>
    <col min="3" max="3" width="22.88671875" style="1" customWidth="1"/>
    <col min="4" max="4" width="10" style="2" customWidth="1"/>
    <col min="5" max="17" width="4.77734375" style="1" customWidth="1"/>
    <col min="18" max="18" width="4.109375" style="1" customWidth="1"/>
    <col min="19" max="35" width="4.77734375" style="1" customWidth="1"/>
    <col min="36" max="16384" width="8.88671875" style="1"/>
  </cols>
  <sheetData>
    <row r="1" spans="1:35" ht="15.6">
      <c r="A1" s="24" t="s">
        <v>34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</row>
    <row r="2" spans="1:35" ht="15.6">
      <c r="A2" s="25" t="s">
        <v>124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6"/>
    </row>
    <row r="3" spans="1:35" ht="15.6">
      <c r="A3" s="25" t="s">
        <v>125</v>
      </c>
      <c r="B3" s="28"/>
      <c r="C3" s="28"/>
      <c r="D3" s="27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6"/>
    </row>
    <row r="4" spans="1:35" ht="15.6">
      <c r="A4" s="29" t="s">
        <v>126</v>
      </c>
      <c r="B4" s="29"/>
      <c r="C4" s="29"/>
      <c r="D4" s="30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</row>
    <row r="5" spans="1:35" ht="15.6">
      <c r="A5" s="25" t="s">
        <v>118</v>
      </c>
      <c r="B5" s="26"/>
      <c r="C5" s="4" t="s">
        <v>40</v>
      </c>
      <c r="D5" s="3">
        <v>720</v>
      </c>
      <c r="E5" s="29" t="s">
        <v>41</v>
      </c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</row>
    <row r="6" spans="1:35" ht="15.6">
      <c r="A6" s="6" t="s">
        <v>1</v>
      </c>
      <c r="B6" s="6" t="s">
        <v>2</v>
      </c>
      <c r="C6" s="6" t="s">
        <v>4</v>
      </c>
      <c r="D6" s="6" t="s">
        <v>42</v>
      </c>
      <c r="E6" s="6">
        <v>1</v>
      </c>
      <c r="F6" s="6">
        <v>2</v>
      </c>
      <c r="G6" s="6">
        <v>3</v>
      </c>
      <c r="H6" s="6">
        <v>4</v>
      </c>
      <c r="I6" s="6">
        <v>5</v>
      </c>
      <c r="J6" s="6">
        <v>6</v>
      </c>
      <c r="K6" s="6">
        <v>7</v>
      </c>
      <c r="L6" s="6">
        <v>8</v>
      </c>
      <c r="M6" s="6">
        <v>9</v>
      </c>
      <c r="N6" s="6">
        <v>10</v>
      </c>
      <c r="O6" s="6">
        <v>11</v>
      </c>
      <c r="P6" s="6">
        <v>12</v>
      </c>
      <c r="Q6" s="6">
        <v>13</v>
      </c>
      <c r="R6" s="6">
        <v>14</v>
      </c>
      <c r="S6" s="6">
        <v>15</v>
      </c>
      <c r="T6" s="6">
        <v>16</v>
      </c>
      <c r="U6" s="6">
        <v>17</v>
      </c>
      <c r="V6" s="6">
        <v>18</v>
      </c>
      <c r="W6" s="6">
        <v>19</v>
      </c>
      <c r="X6" s="6">
        <v>20</v>
      </c>
      <c r="Y6" s="6">
        <v>21</v>
      </c>
      <c r="Z6" s="6">
        <v>22</v>
      </c>
      <c r="AA6" s="6">
        <v>23</v>
      </c>
      <c r="AB6" s="6">
        <v>24</v>
      </c>
      <c r="AC6" s="6">
        <v>25</v>
      </c>
      <c r="AD6" s="6">
        <v>26</v>
      </c>
      <c r="AE6" s="6">
        <v>27</v>
      </c>
      <c r="AF6" s="6">
        <v>28</v>
      </c>
      <c r="AG6" s="6">
        <v>29</v>
      </c>
      <c r="AH6" s="6">
        <v>30</v>
      </c>
      <c r="AI6" s="6">
        <v>31</v>
      </c>
    </row>
    <row r="7" spans="1:35" ht="30">
      <c r="A7" s="7">
        <v>1</v>
      </c>
      <c r="B7" s="8" t="s">
        <v>127</v>
      </c>
      <c r="C7" s="9" t="s">
        <v>128</v>
      </c>
      <c r="D7" s="10">
        <v>120</v>
      </c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</row>
    <row r="8" spans="1:35">
      <c r="A8" s="42" t="s">
        <v>45</v>
      </c>
      <c r="B8" s="43"/>
      <c r="C8" s="12" t="s">
        <v>46</v>
      </c>
      <c r="D8" s="12">
        <v>30</v>
      </c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</row>
    <row r="9" spans="1:35" ht="45">
      <c r="A9" s="44">
        <v>2</v>
      </c>
      <c r="B9" s="14" t="s">
        <v>129</v>
      </c>
      <c r="C9" s="32" t="s">
        <v>130</v>
      </c>
      <c r="D9" s="32">
        <v>420</v>
      </c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</row>
    <row r="10" spans="1:35">
      <c r="A10" s="44"/>
      <c r="B10" s="12" t="s">
        <v>131</v>
      </c>
      <c r="C10" s="33"/>
      <c r="D10" s="3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</row>
    <row r="11" spans="1:35" ht="45">
      <c r="A11" s="44"/>
      <c r="B11" s="14" t="s">
        <v>129</v>
      </c>
      <c r="C11" s="34"/>
      <c r="D11" s="34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</row>
    <row r="12" spans="1:35">
      <c r="A12" s="42" t="s">
        <v>45</v>
      </c>
      <c r="B12" s="43"/>
      <c r="C12" s="12" t="s">
        <v>132</v>
      </c>
      <c r="D12" s="12">
        <v>30</v>
      </c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</row>
    <row r="13" spans="1:35" ht="30">
      <c r="A13" s="7">
        <v>3</v>
      </c>
      <c r="B13" s="14" t="s">
        <v>127</v>
      </c>
      <c r="C13" s="16" t="s">
        <v>133</v>
      </c>
      <c r="D13" s="16">
        <v>120</v>
      </c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</row>
    <row r="14" spans="1:35">
      <c r="A14" s="7"/>
      <c r="B14" s="15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</row>
    <row r="15" spans="1:35">
      <c r="A15" s="7"/>
      <c r="B15" s="16"/>
      <c r="C15" s="16"/>
      <c r="D15" s="16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</row>
    <row r="16" spans="1:35" ht="15.6">
      <c r="C16" s="3" t="s">
        <v>63</v>
      </c>
      <c r="D16" s="16">
        <f>SUM(D7:D15)</f>
        <v>720</v>
      </c>
    </row>
    <row r="17" spans="2:12" ht="15.6">
      <c r="C17" s="3" t="s">
        <v>64</v>
      </c>
      <c r="D17" s="16">
        <f>D5-D16</f>
        <v>0</v>
      </c>
    </row>
    <row r="18" spans="2:12">
      <c r="B18" s="2"/>
    </row>
    <row r="21" spans="2:12">
      <c r="H21" s="1">
        <f>8*60</f>
        <v>480</v>
      </c>
      <c r="L21" s="1">
        <f>7.5*60</f>
        <v>450</v>
      </c>
    </row>
  </sheetData>
  <mergeCells count="11">
    <mergeCell ref="A8:B8"/>
    <mergeCell ref="A12:B12"/>
    <mergeCell ref="A9:A11"/>
    <mergeCell ref="C9:C11"/>
    <mergeCell ref="D9:D11"/>
    <mergeCell ref="A1:AI1"/>
    <mergeCell ref="A2:AI2"/>
    <mergeCell ref="A3:AI3"/>
    <mergeCell ref="A4:AI4"/>
    <mergeCell ref="A5:B5"/>
    <mergeCell ref="E5:AI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Manpower Usage Existing</vt:lpstr>
      <vt:lpstr>Manpower Usage Proposal</vt:lpstr>
      <vt:lpstr>Quarters Area</vt:lpstr>
      <vt:lpstr>Admin Block</vt:lpstr>
      <vt:lpstr>Garden Area</vt:lpstr>
      <vt:lpstr>Washrooms Cleaning</vt:lpstr>
      <vt:lpstr>Bungalow Cleaning</vt:lpstr>
      <vt:lpstr>Tractor - Road Sweeping</vt:lpstr>
      <vt:lpstr>Sanitization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ANIL</dc:creator>
  <cp:lastModifiedBy>Anil Kumar</cp:lastModifiedBy>
  <dcterms:created xsi:type="dcterms:W3CDTF">2020-11-09T08:33:00Z</dcterms:created>
  <dcterms:modified xsi:type="dcterms:W3CDTF">2026-06-01T19:46:03Z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1033-11.2.0.9739</vt:lpwstr>
  </property>
</Properties>
</file>